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620768f0624011" /></Relationships>
</file>

<file path=xl/workbook.xml><?xml version="1.0" encoding="utf-8"?>
<x:workbook xmlns:x="http://schemas.openxmlformats.org/spreadsheetml/2006/main">
  <x:sheets>
    <x:sheet xmlns:r="http://schemas.openxmlformats.org/officeDocument/2006/relationships" name="Comparison" sheetId="1" r:id="R1327dae14a414138"/>
    <x:sheet xmlns:r="http://schemas.openxmlformats.org/officeDocument/2006/relationships" name="Concept details" sheetId="2" r:id="R1649ad480cbc4aaf"/>
    <x:sheet xmlns:r="http://schemas.openxmlformats.org/officeDocument/2006/relationships" name="Response categories" sheetId="3" r:id="Rf502dfaf1a4044b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0.0000;0.0000"/>
    <x:numFmt numFmtId="201" formatCode="#,##0"/>
    <x:numFmt numFmtId="202" formatCode="+0.000000;-0.000000;0.000000"/>
    <x:numFmt numFmtId="203" formatCode="+0;-0;0"/>
    <x:numFmt numFmtId="204" formatCode="@"/>
  </x:numFmts>
  <x:fonts count="7">
    <x:font>
      <x:sz val="11"/>
      <x:name val="Carlito"/>
    </x:font>
    <x:font>
      <x:sz val="11"/>
      <x:color rgb="FF243746"/>
      <x:name val="Arial"/>
    </x:font>
    <x:font>
      <x:b/>
      <x:sz val="11"/>
      <x:color rgb="FFFFFFFF"/>
      <x:name val="Arial"/>
    </x:font>
    <x:font>
      <x:b/>
      <x:sz val="16"/>
      <x:color rgb="FF243746"/>
      <x:name val="Arial"/>
    </x:font>
    <x:font>
      <x:sz val="11"/>
      <x:color rgb="FF576B79"/>
      <x:name val="Arial"/>
    </x:font>
    <x:font>
      <x:b/>
      <x:sz val="11"/>
      <x:color rgb="FF243746"/>
      <x:name val="Arial"/>
    </x:font>
    <x:font>
      <x:b/>
      <x:sz val="12"/>
      <x:color rgb="FF253C4D"/>
      <x:name val="Arial"/>
    </x:font>
  </x:fonts>
  <x:fills count="6">
    <x:fill>
      <x:patternFill patternType="none"/>
    </x:fill>
    <x:fill>
      <x:patternFill patternType="gray125"/>
    </x:fill>
    <x:fill>
      <x:patternFill patternType="solid">
        <x:fgColor rgb="FF253C4D"/>
      </x:patternFill>
    </x:fill>
    <x:fill>
      <x:patternFill patternType="solid">
        <x:fgColor rgb="FFF2F5F7"/>
      </x:patternFill>
    </x:fill>
    <x:fill>
      <x:patternFill patternType="solid">
        <x:fgColor rgb="FFDEE7EC"/>
      </x:patternFill>
    </x:fill>
    <x:fill>
      <x:patternFill patternType="solid">
        <x:fgColor rgb="FFFFFFFF"/>
      </x:patternFill>
    </x:fill>
  </x:fills>
  <x:borders count="3">
    <x:border/>
    <x:border>
      <x:top style="medium">
        <x:color rgb="FF78919F"/>
      </x:top>
    </x:border>
    <x:border>
      <x:top style="thin">
        <x:color rgb="FF78919F"/>
      </x:top>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3"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1" fontId="1" fillId="5" borderId="0" xfId="0" applyNumberFormat="1" applyFont="1" applyFill="1" applyBorder="1" applyAlignment="1">
      <x:alignment horizontal="right" vertical="top" wrapText="1"/>
    </x:xf>
    <x:xf numFmtId="204" fontId="1" fillId="5"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203" fontId="1" fillId="5" borderId="2" xfId="0" applyNumberFormat="1" applyFont="1" applyFill="1" applyBorder="1" applyAlignment="1">
      <x:alignment vertical="top" wrapText="1"/>
    </x:xf>
    <x:xf numFmtId="201" fontId="1" fillId="5" borderId="2" xfId="0" applyNumberFormat="1" applyFont="1" applyFill="1" applyBorder="1" applyAlignment="1">
      <x:alignment horizontal="right" vertical="top" wrapText="1"/>
    </x:xf>
    <x:xf numFmtId="204" fontId="1" fillId="5"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a7304ef0724bac" /><Relationship Type="http://schemas.openxmlformats.org/officeDocument/2006/relationships/theme" Target="/xl/theme/theme1.xml" Id="R9ec633e25c2b4a43" /><Relationship Type="http://schemas.openxmlformats.org/officeDocument/2006/relationships/sharedStrings" Target="/xl/sharedStrings.xml" Id="R87d60ae44343452a" /><Relationship Type="http://schemas.openxmlformats.org/officeDocument/2006/relationships/worksheet" Target="/xl/worksheets/sheet1.xml" Id="R1327dae14a414138" /><Relationship Type="http://schemas.openxmlformats.org/officeDocument/2006/relationships/worksheet" Target="/xl/worksheets/sheet2.xml" Id="R1649ad480cbc4aaf" /><Relationship Type="http://schemas.openxmlformats.org/officeDocument/2006/relationships/worksheet" Target="/xl/worksheets/sheet3.xml" Id="Rf502dfaf1a4044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53C4D"/>
  </x:sheetPr>
  <x:sheetViews>
    <x:sheetView showGridLines="0" workbookViewId="0">
      <x:pane ySplit="10" topLeftCell="A11" activePane="bottomLeft" state="frozen"/>
    </x:sheetView>
  </x:sheetViews>
  <x:sheetFormatPr defaultRowHeight="15"/>
  <x:cols>
    <x:col min="1" max="1" width="21.670000076293945" hidden="0" customWidth="1"/>
    <x:col min="2" max="2" width="100" hidden="0" customWidth="1"/>
    <x:col min="3" max="3" width="10.220000267028809" hidden="0" customWidth="1"/>
    <x:col min="4" max="4" width="12.220000267028809" hidden="0" customWidth="1"/>
    <x:col min="5" max="5" width="12.220000267028809" hidden="0" customWidth="1"/>
    <x:col min="6" max="6" width="100" hidden="0" customWidth="1"/>
    <x:col min="7" max="7" width="10.220000267028809" hidden="0" customWidth="1"/>
    <x:col min="8" max="8" width="12.220000267028809" hidden="0" customWidth="1"/>
    <x:col min="9" max="9" width="12.220000267028809" hidden="0" customWidth="1"/>
    <x:col min="10" max="10" width="55.560001373291016" hidden="0" customWidth="1"/>
  </x:cols>
  <x:sheetData>
    <x:row r="1">
      <x:c r="A1" s="3"/>
      <x:c r="B1" s="3"/>
      <x:c r="C1" s="3"/>
      <x:c r="D1" s="3"/>
      <x:c r="E1" s="3"/>
      <x:c r="F1" s="3"/>
      <x:c r="G1" s="3"/>
      <x:c r="H1" s="3"/>
      <x:c r="I1" s="3"/>
      <x:c r="J1" s="3"/>
    </x:row>
    <x:row r="2" ht="34.5" customHeight="1">
      <x:c r="A2" s="9" t="str">
        <x:v>Question 2: Describe how organized you are and how this has affected your behavior at work or school</x:v>
      </x:c>
      <x:c r="B2" s="3"/>
      <x:c r="C2" s="3"/>
      <x:c r="D2" s="3"/>
      <x:c r="E2" s="3"/>
      <x:c r="F2" s="3"/>
      <x:c r="G2" s="3"/>
      <x:c r="H2" s="3"/>
      <x:c r="I2" s="3"/>
      <x:c r="J2" s="3"/>
    </x:row>
    <x:row r="3" ht="27" customHeight="1">
      <x:c r="A3" s="10" t="str">
        <x:v>Female and male conscientiousness concepts. 20% training / 80% holdout. Both models completed 30 rounds. Accepted concepts: female 16, male 15.</x:v>
      </x:c>
      <x:c r="B3" s="3"/>
      <x:c r="C3" s="3"/>
      <x:c r="D3" s="3"/>
      <x:c r="E3" s="3"/>
      <x:c r="F3" s="3"/>
      <x:c r="G3" s="3"/>
      <x:c r="H3" s="3"/>
      <x:c r="I3" s="3"/>
      <x:c r="J3" s="3"/>
    </x:row>
    <x:row r="4" ht="31.5" customHeight="1">
      <x:c r="A4" s="10" t="str">
        <x:v>Female: 92 training / 370 holdout. Male: 86 training / 345 holdout. Each model uses only this question and predicts the overall 1–7 self-report composite.</x:v>
      </x:c>
      <x:c r="B4" s="3"/>
      <x:c r="C4" s="3"/>
      <x:c r="D4" s="3"/>
      <x:c r="E4" s="3"/>
      <x:c r="F4" s="3"/>
      <x:c r="G4" s="3"/>
      <x:c r="H4" s="3"/>
      <x:c r="I4" s="3"/>
      <x:c r="J4" s="3"/>
    </x:row>
    <x:row r="5" ht="31.5" customHeight="1">
      <x:c r="A5" s="10" t="str">
        <x:v>Weight b is the unstandardized change in predicted self-report score per one-point increase in a concept, conditional on the other predictors. Score scales and predictor sets differ.</x:v>
      </x:c>
      <x:c r="B5" s="3"/>
      <x:c r="C5" s="3"/>
      <x:c r="D5" s="3"/>
      <x:c r="E5" s="3"/>
      <x:c r="F5" s="3"/>
      <x:c r="G5" s="3"/>
      <x:c r="H5" s="3"/>
      <x:c r="I5" s="3"/>
      <x:c r="J5" s="3"/>
    </x:row>
    <x:row r="6" ht="33" customHeight="1">
      <x:c r="A6" s="10" t="str">
        <x:v>Substantive n includes valid behavioral categories, including low and meaningful-zero scores. It excludes uncertainty categories (including "Uncertain or no reasons given"), Not applicable, and invalid-response fallbacks. All participants still enter the regression or predictions.</x:v>
      </x:c>
      <x:c r="B6" s="3"/>
      <x:c r="C6" s="3"/>
      <x:c r="D6" s="3"/>
      <x:c r="E6" s="3"/>
      <x:c r="F6" s="3"/>
      <x:c r="G6" s="3"/>
      <x:c r="H6" s="3"/>
      <x:c r="I6" s="3"/>
      <x:c r="J6" s="3"/>
    </x:row>
    <x:row r="7" ht="31.5" customHeight="1">
      <x:c r="A7" s="10" t="str">
        <x:v>Matches are qualitative judgments from definitions and guides. Missing counterparts do not establish absence of a behavior. Coefficient differences are not formal tests of gender effects.</x:v>
      </x:c>
      <x:c r="B7" s="3"/>
      <x:c r="C7" s="3"/>
      <x:c r="D7" s="3"/>
      <x:c r="E7" s="3"/>
      <x:c r="F7" s="3"/>
      <x:c r="G7" s="3"/>
      <x:c r="H7" s="3"/>
      <x:c r="I7" s="3"/>
      <x:c r="J7" s="3"/>
    </x:row>
    <x:row r="8" ht="31.5" customHeight="1">
      <x:c r="A8" s="10" t="str">
        <x:v>10 paired themes and 11 concepts without a close counterpart in this alignment. All 31 accepted concepts appear once. Complete scoring guides and category frequencies are included.</x:v>
      </x:c>
      <x:c r="B8" s="3"/>
      <x:c r="C8" s="3"/>
      <x:c r="D8" s="3"/>
      <x:c r="E8" s="3"/>
      <x:c r="F8" s="3"/>
      <x:c r="G8" s="3"/>
      <x:c r="H8" s="3"/>
      <x:c r="I8" s="3"/>
      <x:c r="J8" s="3"/>
    </x:row>
    <x:row r="9">
      <x:c r="A9" s="3"/>
      <x:c r="B9" s="3"/>
      <x:c r="C9" s="3"/>
      <x:c r="D9" s="3"/>
      <x:c r="E9" s="3"/>
      <x:c r="F9" s="3"/>
      <x:c r="G9" s="3"/>
      <x:c r="H9" s="3"/>
      <x:c r="I9" s="3"/>
      <x:c r="J9" s="3"/>
    </x:row>
    <x:row r="10" ht="75" customHeight="1">
      <x:c r="A10" s="7" t="str">
        <x:v>Theme</x:v>
      </x:c>
      <x:c r="B10" s="7" t="str">
        <x:v>Female concept and full definition</x:v>
      </x:c>
      <x:c r="C10" s="7" t="str">
        <x:v>Female weight b</x:v>
      </x:c>
      <x:c r="D10" s="7" t="str">
        <x:v>Female train substantive n</x:v>
      </x:c>
      <x:c r="E10" s="7" t="str">
        <x:v>Female holdout substantive n</x:v>
      </x:c>
      <x:c r="F10" s="7" t="str">
        <x:v>Male concept and full definition</x:v>
      </x:c>
      <x:c r="G10" s="7" t="str">
        <x:v>Male weight b</x:v>
      </x:c>
      <x:c r="H10" s="7" t="str">
        <x:v>Male train substantive n</x:v>
      </x:c>
      <x:c r="I10" s="7" t="str">
        <x:v>Male holdout substantive n</x:v>
      </x:c>
      <x:c r="J10" s="7" t="str">
        <x:v>Match scope and interpretation</x:v>
      </x:c>
    </x:row>
    <x:row r="11" ht="130.5" customHeight="1">
      <x:c r="A11" s="3" t="str">
        <x:v>Maintaining organizational systems across domains</x:v>
      </x:c>
      <x:c r="B11" s="3" t="str">
        <x:v>F2-01: Maintenance of organizational routines across life domains
Distinguishes participants by whether they describe stable, actively maintained organizational routines that span both work/school and personal life, versus organization that exists only in select domains or is repeatedly attempted but abandoned. Higher-scoring conscientiousness interviews consistently describe ongoing habits (schedules, checklists, routines) that they keep up over time in multiple areas of life. Mid-range interviews describe organization in one domain while another is disorganized or cluttered. Lower-scoring interviews describe repeated efforts to get organized (bins, purges, lists) that fail or get abandoned, with resulting piles or avoidance.</x:v>
      </x:c>
      <x:c r="C11" s="13" t="n">
        <x:f>'Concept details'!D10</x:f>
        <x:v>-0.057537962300249414</x:v>
      </x:c>
      <x:c r="D11" s="15" t="n">
        <x:f>'Concept details'!J10</x:f>
        <x:v>50</x:v>
      </x:c>
      <x:c r="E11" s="15" t="n">
        <x:f>'Concept details'!Q10</x:f>
        <x:v>167</x:v>
      </x:c>
      <x:c r="F11" s="3" t="str">
        <x:v>M2-01: Concrete organizational systems and routines described
Interviews with higher conscientiousness scores tend to describe specific, concrete organizational systems, tools, or routines they actively maintain (e.g., planners, spreadsheets, calendars, labeled storage, staged workspaces, fixed daily routines), often applied across multiple life domains and sometimes accompanied by strong emotional investment in maintaining order. Interviews with lower scores describe organization in vague or aspirational terms, note inconsistent or domain-specific order that they struggle to maintain, or report recurring misplacement of items and needing extra time to find things.</x:v>
      </x:c>
      <x:c r="G11" s="13" t="n">
        <x:f>'Concept details'!D26</x:f>
        <x:v>0.17254845077413944</x:v>
      </x:c>
      <x:c r="H11" s="15" t="n">
        <x:f>'Concept details'!J26</x:f>
        <x:v>78</x:v>
      </x:c>
      <x:c r="I11" s="15" t="n">
        <x:f>'Concept details'!Q26</x:f>
        <x:v>312</x:v>
      </x:c>
      <x:c r="J11" s="3" t="str">
        <x:v>Close match with extensions
Both distinguish sustained organization across domains from partial organization or repeated failure. The male concept also grades concreteness, rigid standards, and emotional investment. The female coefficient is negative and the male coefficient is positive.</x:v>
      </x:c>
    </x:row>
    <x:row r="12" ht="187.5" customHeight="1">
      <x:c r="A12" s="8" t="str">
        <x:v>Responding to disorder and organizational lapses</x:v>
      </x:c>
      <x:c r="B12" s="8" t="str">
        <x:v>F2-02: Behavioral and emotional response to accumulated disorder
Distinguishes participants by how they react when clutter or disorganization builds up, independent of how organized they are overall or in which domains. Lower-scoring conscientiousness interviews describe disorder that leads to avoidance, demotivation, frustration, or embarrassment (e.g., avoiding studying in a messy room, feeling unmotivated at home, putting off organizing for long periods, only cleaning when others visit). Higher-scoring interviews either tolerate disorder without it interfering with task engagement (an 'organized mess' they can still work in) or actively resolve it when it accumulates (a pile that 'bugs me' gets filed). This concept captures the functional consequence of disorder rather than the presence of routines, which the existing concept already covers.</x:v>
      </x:c>
      <x:c r="C12" s="14" t="n">
        <x:f>'Concept details'!D11</x:f>
        <x:v>0.06897804259345919</x:v>
      </x:c>
      <x:c r="D12" s="16" t="n">
        <x:f>'Concept details'!J11</x:f>
        <x:v>22</x:v>
      </x:c>
      <x:c r="E12" s="16" t="n">
        <x:f>'Concept details'!Q11</x:f>
        <x:v>86</x:v>
      </x:c>
      <x:c r="F12" s="8" t="str">
        <x:v>M2-05: Handling of organizational lapses: prevention, recovery, or unresolved struggle
This concept captures how participants deal with organizational failures when they occur, which is distinct from the systems they maintain, their deadline pacing, their self-presentation confidence, or the temporal framing of their narrative. Participants with higher conscientiousness scores tend to describe either preventive control (organizing so that problems do not arise, knowing where things are, keeping on top of everything, preparing in advance) or, when a lapse is described, an active recovery: taking responsibility, investing effort or time to fix the problem, absorbing the cost themselves, or building in buffers that let them catch up. Participants with lower scores describe organizational failures that remain unresolved despite repeated attempts to improve, or lapses that simply cause lingering annoyance, embarrassment, or shame, or that are tolerated by others (e.g., an employer being 'OK with' forgotten items). This distinction helps explain cases where a participant admits a costly mistake yet still reports a relatively high conscientiousness score because the narrative centers on self-correction and accountability.</x:v>
      </x:c>
      <x:c r="G12" s="14" t="n">
        <x:f>'Concept details'!D30</x:f>
        <x:v>0.06445292120156827</x:v>
      </x:c>
      <x:c r="H12" s="16" t="n">
        <x:f>'Concept details'!J30</x:f>
        <x:v>77</x:v>
      </x:c>
      <x:c r="I12" s="16" t="n">
        <x:f>'Concept details'!Q30</x:f>
        <x:v>307</x:v>
      </x:c>
      <x:c r="J12" s="8" t="str">
        <x:v>Related; different scope
Both distinguish distress or unresolved difficulty from effective handling. Female coding focuses on accumulated disorder, including tolerating it while functioning. Male coding covers organizational failures more broadly and includes preventive control. Both coefficients are positive.</x:v>
      </x:c>
    </x:row>
    <x:row r="13" ht="187.5" customHeight="1">
      <x:c r="A13" s="3" t="str">
        <x:v>Natural disposition versus corrective effort</x:v>
      </x:c>
      <x:c r="B13" s="3" t="str">
        <x:v>F2-03: Framing of organization as natural disposition or enjoyment versus effortful compensation for acknowledged deficits
Distinguishes participants by how they frame the origin and motivation of their organizational behavior, independent of whether routines are maintained or how they react to clutter. Higher-scoring conscientiousness interviews describe organization as an integral part of who they are, something they take pride in, enjoy, or that comes naturally (e.g., building a cleaning business from organizational skills, saying an organized home 'makes me happy', describing a strict routine matter-of-factly). Mid-range interviews describe organization neutrally as a stable practice maintained out of habit or practical necessity. Lower-scoring interviews frame their organization as a deliberate workaround for self-acknowledged weaknesses such as forgetfulness, ADHD, a history of disorganization, or ongoing struggle, using language like 'I try my best', 'need work even to this day', or describing systems adopted specifically to compensate for these deficits. This captures the motivational and self-concept framing of organization, which the existing concepts (routine maintenance and response to disorder) do not cover.</x:v>
      </x:c>
      <x:c r="C13" s="13" t="n">
        <x:f>'Concept details'!D12</x:f>
        <x:v>0.22410042381742873</x:v>
      </x:c>
      <x:c r="D13" s="15" t="n">
        <x:f>'Concept details'!J12</x:f>
        <x:v>88</x:v>
      </x:c>
      <x:c r="E13" s="15" t="n">
        <x:f>'Concept details'!Q12</x:f>
        <x:v>331</x:v>
      </x:c>
      <x:c r="F13" s="3" t="str">
        <x:v>M2-04: Temporal stability versus improvement narrative in organization self-description
Interviews with higher conscientiousness scores tend to present their organization as an enduring, self-attributed disposition ('I am a very organized person', 'I always have my things in its place') or as current habitual practice described without any temporal or causal framing. Interviews with lower scores, even when they currently maintain concrete systems, tend to frame their organization through a temporal or external lens: recounting past disorganization, lateness, or academic failure that they later corrected through deliberate effort, or attributing their orderliness to outside forces such as an upbringing shaped by another person's compulsive tidiness or job demands rather than to their own stable disposition. This concept captures the trajectory and causal framing of the organization narrative, which is distinct from the concrete systems maintained, deadline pacing, self-presentation confidence, or specificity of description captured by existing concepts. It helps explain cases where a participant describes detailed current routines yet reports a relatively low conscientiousness score because the narrative centers on overcoming earlier disorganization.</x:v>
      </x:c>
      <x:c r="G13" s="13" t="n">
        <x:f>'Concept details'!D29</x:f>
        <x:v>0.13407173640634393</x:v>
      </x:c>
      <x:c r="H13" s="15" t="n">
        <x:f>'Concept details'!J29</x:f>
        <x:v>81</x:v>
      </x:c>
      <x:c r="I13" s="15" t="n">
        <x:f>'Concept details'!Q29</x:f>
        <x:v>316</x:v>
      </x:c>
      <x:c r="J13" s="3" t="str">
        <x:v>Related; different emphasis
Both contrast organization as a stable disposition with accounts of overcoming difficulty or relying on external necessity. Female coding emphasizes enjoyment, identity, and compensation; male coding emphasizes temporal trajectory and causal origin. Both coefficients are positive.</x:v>
      </x:c>
    </x:row>
    <x:row r="14" ht="230.25" customHeight="1">
      <x:c r="A14" s="8" t="str">
        <x:v>Unqualified versus bounded organization claims</x:v>
      </x:c>
      <x:c r="B14" s="8" t="str">
        <x:v>F2-05: Absolutism versus hedging in stated organizational standards
Distinguishes participants by how absolute or qualified their statements about their own organizational standards are, independent of whether routines are maintained, how they respond to clutter, or how concrete their practices are. Higher-scoring interviews describe organization in uncompromising, all-or-nothing terms: every item must have a place, unnecessary possessions are discarded, disorder is hated or intolerable, and out-of-place items must be fixed immediately before anything else. Mid-range interviews give strong but bounded endorsements ('very organized') that are tempered by practicality, acknowledged limits, or occasional distraction. Lower-scoring interviews hedge or scale down their self-assessment with qualifiers like 'pretty organized', 'organized enough', 'not obsessive', or 'fairly organized', or explicitly reject extreme organization as wasteful. This concept captures the strictness and linguistic intensity of the standard itself, from most absolute to most hedged.</x:v>
      </x:c>
      <x:c r="C14" s="14" t="n">
        <x:f>'Concept details'!D14</x:f>
        <x:v>0.20614684849806902</x:v>
      </x:c>
      <x:c r="D14" s="16" t="n">
        <x:f>'Concept details'!J14</x:f>
        <x:v>87</x:v>
      </x:c>
      <x:c r="E14" s="16" t="n">
        <x:f>'Concept details'!Q14</x:f>
        <x:v>345</x:v>
      </x:c>
      <x:c r="F14" s="8" t="str">
        <x:v>M2-10: Scope and totality of the organizational self-claim
This concept captures how broad and unconditional the participant's claim about their own organization is, distinct from how confident or externally validated it sounds, from whether concrete systems exist, and from the temporal narrative of how the organization developed. Participants with higher conscientiousness scores tend to make totalizing, unbounded claims: organization applies to 'everything I do', 'so many areas of my life', 'life generally', 'overall', or to all of their belongings ('I always know where I have my things'), sometimes with an explicit inability to function without order. Participants with lower scores tend to either hedge and qualify the claim ('fairly organized', 'usually pretty organized', 'I don't know if it impacted my behavior') or make strong but bounded claims, scoping their organizedness to a single domain, role, tool, or behavior type ('extremely organized with my lists', 'at work I am very organized', 'I always meet deadlines', 'my organisation at school', 'in my workplace'). Mid-range participants claim organization across multiple domains as situated practice without totalizing language about themselves as a whole. This distinction helps explain high-error cases where a participant is rated highly on confidence or systems but scores lower because the claim is confined to one tool or context, and cases where a participant describes few concrete tools yet scores high because the claim is unconditional and life-wide.</x:v>
      </x:c>
      <x:c r="G14" s="14" t="n">
        <x:f>'Concept details'!D35</x:f>
        <x:v>0.09117088153210498</x:v>
      </x:c>
      <x:c r="H14" s="16" t="n">
        <x:f>'Concept details'!J35</x:f>
        <x:v>76</x:v>
      </x:c>
      <x:c r="I14" s="16" t="n">
        <x:f>'Concept details'!Q35</x:f>
        <x:v>318</x:v>
      </x:c>
      <x:c r="J14" s="8" t="str">
        <x:v>Related; different emphasis
Both distinguish totalizing claims from qualifications. Female coding concerns strictness and intensity of standards; male coding additionally distinguishes domain- or tool-bounded claims from life-wide claims. Both coefficients are positive.</x:v>
      </x:c>
    </x:row>
    <x:row r="15" ht="187.5" customHeight="1">
      <x:c r="A15" s="3" t="str">
        <x:v>Dynamic task management versus static order</x:v>
      </x:c>
      <x:c r="B15" s="3" t="str">
        <x:v>F2-07: Proactive task and time management versus static physical order
Distinguishes participants by whether they describe actively managing their work over time through planning, prioritization, sequencing, or early completion, versus describing organization only as a static state of physical order (a neat desk, tidy space, things easy to find) or as named tools without any description of how tasks are actually scheduled or sequenced. Participants who describe temporal control of their workload (breaking projects into steps, tackling the hardest part first, prioritizing urgent tasks, scheduling weekly time for readings, finishing assignments on time or early, structuring the day for multiple simultaneous tasks) receive higher scores. Participants who describe only the current state of their space or the efficiency benefits of tidiness, with no described process for managing tasks across time, receive lower scores. This captures dynamic task management over time.</x:v>
      </x:c>
      <x:c r="C15" s="13" t="n">
        <x:f>'Concept details'!D16</x:f>
        <x:v>0.17514226254400012</x:v>
      </x:c>
      <x:c r="D15" s="15" t="n">
        <x:f>'Concept details'!J16</x:f>
        <x:v>84</x:v>
      </x:c>
      <x:c r="E15" s="15" t="n">
        <x:f>'Concept details'!Q16</x:f>
        <x:v>343</x:v>
      </x:c>
      <x:c r="F15" s="3" t="str">
        <x:v>M2-06: Dynamic task management versus static organization
Participants with higher conscientiousness scores tend to describe organization as an active, ongoing management process: sequencing tasks by importance, urgency, or time-sensitivity, having a 'game plan' for how to approach work, continuously monitoring status ('keeping on top of every piece of data', a to-do list that is 'constantly on'), or tracking team progress toward daily targets. Participants with lower scores, even when they describe concrete organizational systems, tend to frame organization as static storage and placement: putting paperwork in a binder, filing emails into folders, keeping a clean desk, arranging a table, or writing notes for later revision, without describing how they sequence, monitor, or stay on top of tasks. This dynamic-versus-static dimension is distinct from whether systems exist (captured by existing concepts), from deadline pacing, and from narrative framing, and helps explain cases where a participant describes maintained filing systems yet reports a relatively low score because the organization is described as passive containment rather than active management.</x:v>
      </x:c>
      <x:c r="G15" s="13" t="n">
        <x:f>'Concept details'!D31</x:f>
        <x:v>0.20016045840729174</x:v>
      </x:c>
      <x:c r="H15" s="15" t="n">
        <x:f>'Concept details'!J31</x:f>
        <x:v>65</x:v>
      </x:c>
      <x:c r="I15" s="15" t="n">
        <x:f>'Concept details'!Q31</x:f>
        <x:v>231</x:v>
      </x:c>
      <x:c r="J15" s="3" t="str">
        <x:v>Close match
Both distinguish active planning or prioritization from static placement and storage. Female coding includes early completion; male coding emphasizes continuous monitoring. Both coefficients are positive.</x:v>
      </x:c>
    </x:row>
    <x:row r="16" ht="258.75" customHeight="1">
      <x:c r="A16" s="8" t="str">
        <x:v>Rules and maxims about organization</x:v>
      </x:c>
      <x:c r="B16" s="8" t="str">
        <x:v>F2-09: Articulation of general organizing rules, maxims, or causal beliefs versus specific practices versus bare state description
Distinguishes participants by the level of generality at which they talk about organization, independent of how organized they claim to be, how strict their standards are, or how concrete their practices are. Higher-scoring conscientiousness interviews state at least one generalizable rule, maxim, or causal belief about order: prescriptive rules ('everything has a place and it should be in its place', 'if you don't have a place for something then you don't need that item'), if-then maxims addressed as general truths ('if you can set up a system, even a bit loose, your work will go more smoothly'), counterfactual claims about what disorganization would cost ('better grades than I would have if I was not organized and wasting precious time'), or general values and aversions ('I like things to be neat and tidy', 'I do not like being unorganised'). Mid-range interviews describe specific practices, tools, or personal systems (planners, Trello, colored binders, lists, desk arrangements) without stating any general rule or belief. Lower-scoring interviews describe only the current state of their space, a bare self-assessment, or their struggles, with neither a stated principle nor a described practice. This is distinct from the concreteness concept (specificity of practices) and the absolutism concept (strictness of standards): a participant can describe tools in detail while never articulating a principle, or state an absolute rule with no practices, and the presence of an articulated general principle tracks the currently underpredicted high-scoring interviews while practice-heavy and state-only accounts characterize the overpredicted mid and low bands.</x:v>
      </x:c>
      <x:c r="C16" s="14" t="n">
        <x:f>'Concept details'!D18</x:f>
        <x:v>0.11999793923921181</x:v>
      </x:c>
      <x:c r="D16" s="16" t="n">
        <x:f>'Concept details'!J18</x:f>
        <x:v>91</x:v>
      </x:c>
      <x:c r="E16" s="16" t="n">
        <x:f>'Concept details'!Q18</x:f>
        <x:v>367</x:v>
      </x:c>
      <x:c r="F16" s="8" t="str">
        <x:v>M2-08: Rule- or maxim-based framing of organization
The level of generality and prescriptiveness in how a participant verbally frames their own organization. At one end, order is framed as conditional and exception-laden, using deferral, frequency qualifiers, or trigger thresholds in the present tense. In the middle, organization is described only as situated practices, tools, or methods without elevating them to rules or values. At the other end, order is framed through governing rules, maxims, or value commitments, either scoped to the participant's own life or generalized as universal, normative claims. This concept is about how order is verbally framed, not about whether concrete systems are actually maintained, deadline pacing, self-presentation confidence, temporal or causal narrative, lapse handling, dynamic versus static management, or consequences attributed to organization.</x:v>
      </x:c>
      <x:c r="G16" s="14" t="n">
        <x:f>'Concept details'!D33</x:f>
        <x:v>0.20318427789944102</x:v>
      </x:c>
      <x:c r="H16" s="16" t="n">
        <x:f>'Concept details'!J33</x:f>
        <x:v>75</x:v>
      </x:c>
      <x:c r="I16" s="16" t="n">
        <x:f>'Concept details'!Q33</x:f>
        <x:v>298</x:v>
      </x:c>
      <x:c r="J16" s="8" t="str">
        <x:v>Close match with different low categories
Both distinguish general principles or maxims from descriptions of practices alone. Female coding also separates bare state descriptions; male coding separately identifies exception-laden framing. Both coefficients are positive.</x:v>
      </x:c>
    </x:row>
    <x:row r="17" ht="230.25" customHeight="1">
      <x:c r="A17" s="3" t="str">
        <x:v>Breadth and interpersonal scope of responsibilities</x:v>
      </x:c>
      <x:c r="B17" s="3" t="str">
        <x:v>F2-11: Breadth of concurrent responsibilities described as successfully managed
Distinguishes participants by the scope and load of obligations their organization is described as handling and whether they keep up with them, independent of routines maintained, tools named, standards stated, or the condition of their home domain. Higher-scoring interviews describe juggling multiple distinct concurrent streams of responsibility and staying on top of them: coordinating health screenings across seven schools against a fixed deadline while planning with others, maintaining binders spanning multiple organizations, projects, and colleagues, tracking deadlines, tasks, and progress across a full workload, or handling both work and personal matters. Mid-range interviews describe their organization as managing a single job's tasks or their own daily schedule, without multiple concurrent streams and without reported failure. Lower-scoring interviews describe even basic or single-domain responsibilities as overwhelming, unmet, or drawing criticism: chasing tasks, negative impact at work, constructive criticism for disorganization, or barely keeping on top of cooking, eating, cleaning, and bills. This separates interviews with nearly identical tool-use and concreteness ratings but different outcomes, such as a diary-and-to-do-list user managing only their own daily work tasks versus a binder and color-coding system spanning multiple organizations, projects, and people, or an organization claim tied to meeting set goals across a workload versus one tied to avoiding failure at basic daily tasks.</x:v>
      </x:c>
      <x:c r="C17" s="13" t="n">
        <x:f>'Concept details'!D20</x:f>
        <x:v>-0.14989751638510268</x:v>
      </x:c>
      <x:c r="D17" s="15" t="n">
        <x:f>'Concept details'!J20</x:f>
        <x:v>79</x:v>
      </x:c>
      <x:c r="E17" s="15" t="n">
        <x:f>'Concept details'!Q20</x:f>
        <x:v>308</x:v>
      </x:c>
      <x:c r="F17" s="3" t="str">
        <x:v>M2-09: Interpersonal scope of organization: managing commitments involving other people
Participants with higher conscientiousness scores often describe organization that extends beyond their own belongings, workspace, and personal tasks to managing commitments that involve other people: attending and tracking meetings, coordinating team tasks, delivering on assignments given to them by or with others (projects, orders, team deliverables), or ensuring that others are not harmed by their mistakes (e.g., absorbing the cost of a lost item so a customer is not refunded, making sure a team's work is delivered error-free). Participants with lower scores describe organization exclusively in terms of themselves: their own desk, files, belongings, personal convenience, finding their own things, or their own stress, with any lapses affecting only themselves and being tolerated by others. This concept captures the object or scope of the participant's organizational behavior (self versus interpersonal commitments), which is distinct from whether concrete systems exist, deadline pacing for one's own work, how confidently the organization is presented, whether others recognize or praise it, and the type of personal benefit organization produces. It helps explain cases where a participant with few described personal systems scores high because their narrative centers on reliably delivering for a team or customer, and cases where a participant with maintained personal systems scores lower because the organization never extends to anyone else.</x:v>
      </x:c>
      <x:c r="G17" s="13" t="n">
        <x:f>'Concept details'!D34</x:f>
        <x:v>0.0931416519374581</x:v>
      </x:c>
      <x:c r="H17" s="15" t="n">
        <x:f>'Concept details'!J34</x:f>
        <x:v>81</x:v>
      </x:c>
      <x:c r="I17" s="15" t="n">
        <x:f>'Concept details'!Q34</x:f>
        <x:v>318</x:v>
      </x:c>
      <x:c r="J17" s="3" t="str">
        <x:v>Partial overlap
Both describe the scope organization serves. Female coding concerns the number of concurrent roles or demand streams and successful management. Male coding concerns whether commitments involve or protect others. Breadth of workload and interpersonal scope are not interchangeable; coefficient signs differ.</x:v>
      </x:c>
    </x:row>
    <x:row r="18" ht="230.25" customHeight="1">
      <x:c r="A18" s="8" t="str">
        <x:v>Psychological functions of organization</x:v>
      </x:c>
      <x:c r="B18" s="8" t="str">
        <x:v>F2-12: Organization framed as regulation of one's own emotional or psychological state
Distinguishes participants by whether they present being organized as serving their own internal psychological state management, versus framing organization only around tasks, performance, efficiency, or describing it with no stated function at all. Higher-scoring conscientiousness interviews never claim emotional functions for organization: they justify it through deadlines, goals, efficiency, professionalism, or impression management, or simply describe practices and standards. Mid-scoring interviews explicitly attribute to organization a stress-, anxiety-, or mental-health-regulation function ('when I am organized I stress less and have less anxiety', 'keeping a clean organized home is very important to your mental health', 'it is very depressing and stressful to have mess') or tie their organizing to a psychological condition ('very OCD with all the work I do'). These participants are often rated highly on standards, absolutism, and identity concepts and are systematically overpredicted by them: their intense aversion to disorder coexists with only mid-range outcomes, while participants with equally strong standards but purely task- or efficiency-based framing score high. This is distinct from the disorder-response concept (behavioral reaction to accumulated clutter), from deficit-compensation framing (organization as a workaround for forgetfulness or ADHD rather than as emotional regulation), and from the emotional tone of the account (a participant can describe anxiety management calmly and matter-of-factly).</x:v>
      </x:c>
      <x:c r="C18" s="14" t="n">
        <x:f>'Concept details'!D21</x:f>
        <x:v>0.15059058080996965</x:v>
      </x:c>
      <x:c r="D18" s="16" t="n">
        <x:f>'Concept details'!J21</x:f>
        <x:v>90</x:v>
      </x:c>
      <x:c r="E18" s="16" t="n">
        <x:f>'Concept details'!Q21</x:f>
        <x:v>363</x:v>
      </x:c>
      <x:c r="F18" s="8" t="str">
        <x:v>M2-07: Nature of consequences attributed to organization
Participants with higher conscientiousness scores tend to describe their organization as producing internal psychological states or as a precondition for their functioning: calm, a relaxed demeanor, confidence, reduced stress, or an explicit inability to function or work unless organized. Participants in the middle range describe concrete but purely instrumental, task-level benefits: finishing work sooner, saving time, finding things quickly, avoiding errors, losses, or wasted time. Participants with lower scores tend to frame the payoff of their organization in external, comparative, or socially mediated terms, such as being admired or respected by others, receiving recommendations, promotions, praise, or good grades, or being more professional than other people, or they describe their organization without attributing any consequence to it at all. This concept captures the type of consequence the participant claims organization has for them, which is distinct from the concrete systems maintained, deadline pacing, self-presentational confidence, lapse handling, and dynamic-versus-static task management captured by existing concepts, and helps explain cases where participants with similar described systems receive different scores because of how central organization is to their psychological functioning versus merely a source of external reward or mild practical gain.</x:v>
      </x:c>
      <x:c r="G18" s="14" t="n">
        <x:f>'Concept details'!D32</x:f>
        <x:v>0.045820386936753804</x:v>
      </x:c>
      <x:c r="H18" s="16" t="n">
        <x:f>'Concept details'!J32</x:f>
        <x:v>82</x:v>
      </x:c>
      <x:c r="I18" s="16" t="n">
        <x:f>'Concept details'!Q32</x:f>
        <x:v>326</x:v>
      </x:c>
      <x:c r="J18" s="8" t="str">
        <x:v>Related; opposite orientation of coding
Female higher scores indicate little or no emotional-regulation function. Male higher scores indicate wellbeing benefits or organization as a precondition for functioning. Both coefficients are positive, so the same sign does not imply the same association with psychological regulation.</x:v>
      </x:c>
    </x:row>
    <x:row r="19" ht="244.5" customHeight="1">
      <x:c r="A19" s="3" t="str">
        <x:v>External recognition of organization</x:v>
      </x:c>
      <x:c r="B19" s="3" t="str">
        <x:v>F2-15: Third-party recognition versus sanction of the participant's organization
Distinguishes participants by whether others' reactions to their organization or disorganization appear in the account, independent of how organized the participant claims to be, what routines they maintain, or how they frame their motivation. Higher-outcome interviews report external validation of their organization: family members or colleagues noticing and commenting on it, being recognized as the most organized person in the family, or institutional evaluations succeeding because of their organization (successful annual audit ratings). Lower-outcome interviews report external sanction: being coached or made to redo work, getting in trouble at work, or otherwise suffering consequences imposed by others because of disorganization. Most interviews mention no third-party reaction at all and are rated Not applicable, not low. This is distinct from self-reported performance effects (which rate the participant's own claims about productivity or grades, not others' reactions), from breadth of managed responsibilities (which rates workload scope, with criticism appearing only as one marker of unmet duties), from impression-management motivation (anticipating how one wants to be perceived, with no actual reported feedback), and from the referent of value claims (who organizational value applies to, not how others respond to the participant). It separates mispredicted interviews such as the participant whose family noticed and commented on her organization (high outcome, underpredicted) from the participant who was coached to redo a lost-notebook project (low outcome, overpredicted despite strong identity and standards ratings).</x:v>
      </x:c>
      <x:c r="C19" s="13" t="n">
        <x:f>'Concept details'!D24</x:f>
        <x:v>0.2724289645551719</x:v>
      </x:c>
      <x:c r="D19" s="15" t="n">
        <x:f>'Concept details'!J24</x:f>
        <x:v>9</x:v>
      </x:c>
      <x:c r="E19" s="15" t="n">
        <x:f>'Concept details'!Q24</x:f>
        <x:v>27</x:v>
      </x:c>
      <x:c r="F19" s="3" t="str">
        <x:v>M2-03: Confidence and external validation in self-described organization
Participants with higher conscientiousness scores tend to describe their organization in unqualified, confident terms and often cite external validation or social enforcement: others praising or relying on their orderliness, being recognized at work as exceptionally organized, leading or supervising others' organization, or demanding orderliness from those around them. Participants with lower scores tend to hedge or qualify their self-descriptions ('perhaps', 'somewhat', 'fairly', 'I don't always live up to'), openly admit gaps between their standards and their behavior, or frame their order as idiosyncratic chaos that only they can navigate. This concept captures the self-presentation and social-visibility dimension of organization, which is distinct from the concrete systems maintained or the deadline pacing captured by existing concepts.</x:v>
      </x:c>
      <x:c r="G19" s="13" t="n">
        <x:f>'Concept details'!D28</x:f>
        <x:v>0.0738951868964817</x:v>
      </x:c>
      <x:c r="H19" s="15" t="n">
        <x:f>'Concept details'!J28</x:f>
        <x:v>85</x:v>
      </x:c>
      <x:c r="I19" s="15" t="n">
        <x:f>'Concept details'!Q28</x:f>
        <x:v>335</x:v>
      </x:c>
      <x:c r="J19" s="3" t="str">
        <x:v>Partial overlap
Both include recognition by other people. Female coding isolates external praise or evaluation versus criticism and sanctions, with no reaction coded not applicable. Male coding combines recognition with confidence and enforcing order on others. Both coefficients are positive.</x:v>
      </x:c>
    </x:row>
    <x:row r="20" ht="230.25" customHeight="1">
      <x:c r="A20" s="8" t="str">
        <x:v>Preparing ahead versus reactive organization</x:v>
      </x:c>
      <x:c r="B20" s="8" t="str">
        <x:v>F2-16: Temporal orientation of organization (anticipatory vs. present-moment vs. reactive)
Distinguishes participants by the temporal direction of their organization: whether they describe preparing in advance for what is coming next (having tools ready before starting work, making tomorrow's list tonight, resetting the workspace at the end of a shift so it is ready for the next day, tracking upcoming deadlines, setting up systems so future work goes smoothly), versus organizing only the current task or current state of their space with no described forward setup, versus organization that erodes over the course of longer tasks into deadline-driven rushing, versus organizing only in reaction to immediate triggers (cleaning when guests are coming, dealing with things only when they become urgent). Higher-scoring conscientiousness interviews consistently show future-facing readiness behavior ('prepare to succeed or prepare to fail', 'lists at night for the next day', 'tidy up my desk after my shift so it is ready for the next day', 'always have the tools prepared'), while the lowest-scoring interviews describe either a static present state (a neat desk because there is little to manage) or purely triggered cleanup. This is distinct from proactive task management (sequencing and prioritizing current work), from routine maintenance (whether habits persist across domains), from temporal cycles (how often organizing recurs rather than whether it is aimed at upcoming demands), and from review and monitoring (checking tracked items rather than readying oneself or one's environment for the future).</x:v>
      </x:c>
      <x:c r="C20" s="14" t="n">
        <x:f>'Concept details'!D25</x:f>
        <x:v>-0.14803239679263075</x:v>
      </x:c>
      <x:c r="D20" s="16" t="n">
        <x:f>'Concept details'!J25</x:f>
        <x:v>67</x:v>
      </x:c>
      <x:c r="E20" s="16" t="n">
        <x:f>'Concept details'!Q25</x:f>
        <x:v>260</x:v>
      </x:c>
      <x:c r="F20" s="8" t="str">
        <x:v>M2-02: Proactive task preparation and deadline lead-time
Participants with higher conscientiousness scores often describe planning how they will approach tasks before beginning them, gathering materials and knowledge in advance, and habitually completing work ahead of deadlines. Participants with lower scores describe last-minute work styles, rushing to finish assignments right before they are due, or needing extra time because of unpreparedness. This concept captures the temporal dimension of task management (planning ahead vs. working at the deadline) rather than physical organization systems or tidiness.</x:v>
      </x:c>
      <x:c r="G20" s="14" t="n">
        <x:f>'Concept details'!D27</x:f>
        <x:v>-0.15222008875727938</x:v>
      </x:c>
      <x:c r="H20" s="16" t="n">
        <x:f>'Concept details'!J27</x:f>
        <x:v>22</x:v>
      </x:c>
      <x:c r="I20" s="16" t="n">
        <x:f>'Concept details'!Q27</x:f>
        <x:v>67</x:v>
      </x:c>
      <x:c r="J20" s="8" t="str">
        <x:v>Close match with different scope
Both distinguish anticipatory preparation from rushed or reactive conduct. Female coding also includes readiness of the environment and trigger-driven cleanup; male coding emphasizes task preparation and completion lead-time. Both coefficients are negative.</x:v>
      </x:c>
    </x:row>
    <x:row r="21" ht="201.75" customHeight="1">
      <x:c r="A21" s="17" t="str">
        <x:v>Specificity of practices and outcomes</x:v>
      </x:c>
      <x:c r="B21" s="17" t="str">
        <x:v>F2-04: Concreteness of described organizational practices and their outcomes
Distinguishes participants by how concrete and specific their descriptions of organizational behavior are, independent of how organized they claim to be or how they frame its origin. Higher-scoring conscientiousness interviews ground their answers in specific, observable practices and tangible outcomes: named routines described in detail (a daily cleaning schedule covering specific parts of the home, preparing everything the night before, tidying the desk after each shift, a folder structure for each work area) and concrete benefits (self-contracting the building of a home, keeping meticulous notes on busy work shifts, finishing college assignments on time). Lower-scoring interviews with similar self-ratings assert being organized in generic terms, list categories of tools or domains in passing (calendars, checklists, spreadsheets, 'everything has its place'), and describe benefits abstractly ('get tasks done', 'make sure things get finished') without a specific practice, incident, or outcome. This captures evidentiary specificity, which the existing concepts on routine maintenance, disorder response, and motivational framing do not cover, and it separates interviews with nearly identical existing concept scores but different outcomes.</x:v>
      </x:c>
      <x:c r="C21" s="18" t="n">
        <x:f>'Concept details'!D13</x:f>
        <x:v>0.07694789243192675</x:v>
      </x:c>
      <x:c r="D21" s="19" t="n">
        <x:f>'Concept details'!J13</x:f>
        <x:v>92</x:v>
      </x:c>
      <x:c r="E21" s="19" t="n">
        <x:f>'Concept details'!Q13</x:f>
        <x:v>368</x:v>
      </x:c>
      <x:c r="F21" s="17" t="str">
        <x:v>No close counterpart in this alignment</x:v>
      </x:c>
      <x:c r="G21" s="18"/>
      <x:c r="H21" s="19"/>
      <x:c r="I21" s="19"/>
      <x:c r="J21" s="17" t="str">
        <x:v>No close counterpart in this alignment
The female concept isolates evidentiary concreteness. Male M2-01 includes concrete systems and M2-12 codes the organizing unit, but neither isolates specificity in the same way.</x:v>
      </x:c>
    </x:row>
    <x:row r="22" ht="201.75" customHeight="1">
      <x:c r="A22" s="8" t="str">
        <x:v>Severity of admitted organizational problems</x:v>
      </x:c>
      <x:c r="B22" s="8" t="str">
        <x:v>F2-06: Severity of self-acknowledged organizational shortcomings or dysfunction
Distinguishes participants by whether, and how severely, they acknowledge their own organizational weaknesses, limitations, or areas of dysfunction, independent of how organized they claim to be, how they frame their motivation, or how absolute their standards are. Higher-scoring conscientiousness interviews describe only strengths and admit no shortcomings at all, even when their language is hedged (e.g., 'pretty well organized' with no admitted weakness). Mid-range interviews acknowledge bounded, practical limitations such as time constraints, prioritization tradeoffs, or occasional frustration while overall functioning remains intact. Lower-scoring interviews go further: admitting personal inefficiency, functioning poorly under certain conditions, or describing an entire life domain as disorganized ('an absolute disaster' in personal life, 'I do not function well around mess', 'I may take a long route' to get things done, organizing 'so that I won't fail'). This concept captures the presence and severity of disclosed dysfunction, which separates interviews with nearly identical routine-maintenance and absolutism ratings but very different outcomes: the strongest predictors of low scores are not hedged language per se but explicit admissions of struggle, inefficiency, or domain-level collapse.</x:v>
      </x:c>
      <x:c r="C22" s="14" t="n">
        <x:f>'Concept details'!D15</x:f>
        <x:v>0.30453078685160634</x:v>
      </x:c>
      <x:c r="D22" s="16" t="n">
        <x:f>'Concept details'!J15</x:f>
        <x:v>90</x:v>
      </x:c>
      <x:c r="E22" s="16" t="n">
        <x:f>'Concept details'!Q15</x:f>
        <x:v>364</x:v>
      </x:c>
      <x:c r="F22" s="8" t="str">
        <x:v>No close counterpart in this alignment</x:v>
      </x:c>
      <x:c r="G22" s="14"/>
      <x:c r="H22" s="16"/>
      <x:c r="I22" s="16"/>
      <x:c r="J22" s="8" t="str">
        <x:v>No close counterpart in this alignment
The female concept grades disclosed dysfunction from none to severe domain-level collapse. Male M2-05 concerns how lapses are handled rather than the severity admitted.</x:v>
      </x:c>
    </x:row>
    <x:row r="23" ht="173.25" customHeight="1">
      <x:c r="A23" s="3" t="str">
        <x:v>Breadth of claimed benefits</x:v>
      </x:c>
      <x:c r="B23" s="3" t="str">
        <x:v>F2-08: Breadth of life domains in which organization's benefits are claimed
Distinguishes participants by how broadly they describe the positive effects of their organization across life contexts, independent of the routines they maintain, how they react to clutter, or how they frame their motivation. Higher-scoring participants describe organization producing benefits across multiple distinct domains (work and school, work and home, or work and life in general), often with counterfactual or causal language ('achieve better grades than I would have if I was not organized'). Mid-range participants describe benefits confined to a single domain without qualification. Lower-scoring participants either explicitly minimize the scope of what they organize ('I don't have too many materials to keep track of, so my deskspace is usually very neat'), restrict the benefit to one setting while acknowledging the benefit does not extend elsewhere, or deny that organization has affected their outcomes ('This has never really effected me in school or work').</x:v>
      </x:c>
      <x:c r="C23" s="13" t="n">
        <x:f>'Concept details'!D17</x:f>
        <x:v>0.09317046534054291</x:v>
      </x:c>
      <x:c r="D23" s="15" t="n">
        <x:f>'Concept details'!J17</x:f>
        <x:v>83</x:v>
      </x:c>
      <x:c r="E23" s="15" t="n">
        <x:f>'Concept details'!Q17</x:f>
        <x:v>300</x:v>
      </x:c>
      <x:c r="F23" s="3" t="str">
        <x:v>No close counterpart in this alignment</x:v>
      </x:c>
      <x:c r="G23" s="13"/>
      <x:c r="H23" s="15"/>
      <x:c r="I23" s="15"/>
      <x:c r="J23" s="3" t="str">
        <x:v>No close counterpart in this alignment
The female concept concerns how many life contexts benefit. Male M2-07 codes the type of benefit and M2-10 codes breadth of the self-claim, not breadth of effects.</x:v>
      </x:c>
    </x:row>
    <x:row r="24" ht="187.5" customHeight="1">
      <x:c r="A24" s="8" t="str">
        <x:v>Condition of home and personal organization</x:v>
      </x:c>
      <x:c r="B24" s="8" t="str">
        <x:v>F2-10: Graded condition of the personal or home life domain
Distinguishes participants by the described state of organization in their personal or home life, separate from work or school. Many interviews describe a split between an organized work self and a less organized home self, and existing concepts lump these participants together even though their outcomes differ substantially. The graded condition of the home side separates them: higher-scoring participants describe their personal life as organized and managed, or mention home mess only neutrally and indifferently. Progressively lower scores correspond to escalating home dysfunction: piles and putting off organizing, then embarrassment, avoidance, or difficulty being proactive, and finally a personal life described as collapsed, with trouble keeping up with basic upkeep. This is distinct from routine maintenance across domains (which rates the split itself, not the home condition), from severity of acknowledged shortcomings (which lumps all domain-level dysfunction together), and from disorder response (which captures reactions to clutter rather than the state of the personal domain).</x:v>
      </x:c>
      <x:c r="C24" s="14" t="n">
        <x:f>'Concept details'!D19</x:f>
        <x:v>0.1820283389494953</x:v>
      </x:c>
      <x:c r="D24" s="16" t="n">
        <x:f>'Concept details'!J19</x:f>
        <x:v>41</x:v>
      </x:c>
      <x:c r="E24" s="16" t="n">
        <x:f>'Concept details'!Q19</x:f>
        <x:v>137</x:v>
      </x:c>
      <x:c r="F24" s="8" t="str">
        <x:v>No close counterpart in this alignment</x:v>
      </x:c>
      <x:c r="G24" s="14"/>
      <x:c r="H24" s="16"/>
      <x:c r="I24" s="16"/>
      <x:c r="J24" s="8" t="str">
        <x:v>No close counterpart in this alignment
The female concept isolates the graded condition of the home or personal domain. The male model has no separately retained home-specific dimension.</x:v>
      </x:c>
    </x:row>
    <x:row r="25" ht="230.25" customHeight="1">
      <x:c r="A25" s="3" t="str">
        <x:v>External systems versus remembered order</x:v>
      </x:c>
      <x:c r="B25" s="3" t="str">
        <x:v>F2-13: Externalized organizational systems versus memory-based organization within apparent disorder
Distinguishes participants by the medium through which their organization operates: whether order is offloaded onto external artifacts and designated physical locations (binders, calendars, written schedules, filing by date, everything having a fixed place), or whether it lives in the participant's own memory and mental processes (knowing exactly where a paperclip is within a mess, a self-designed desk pile whose order only the participant understands, organizing via thought process and ad hoc recall). Higher-scoring conscientiousness interviews describe retrieval and order as properties of an external system: 'everything has a place', 'I keep colored binders for all the organizations I work with', 'I like to file things by date so I can remember' backed by accessible storage. Mid-scoring interviews describe some external aids but rely partly on personal recall. Lower-scoring interviews describe memory-based organization inside apparent disorder: 'I could tell you exactly where to find a paperclip within my mess', 'sorted in no real order but they are in order', where the system exists only in the participant's head and would not survive their absence. This is distinct from system legibility (whether others could follow it), concreteness (specificity of description), and routine maintenance (whether habits persist): a participant can describe a memory-based system in vivid concrete detail, and a legible place-based rule can be stated without any routine.</x:v>
      </x:c>
      <x:c r="C25" s="13" t="n">
        <x:f>'Concept details'!D22</x:f>
        <x:v>-0.05768431021216192</x:v>
      </x:c>
      <x:c r="D25" s="15" t="n">
        <x:f>'Concept details'!J22</x:f>
        <x:v>51</x:v>
      </x:c>
      <x:c r="E25" s="15" t="n">
        <x:f>'Concept details'!Q22</x:f>
        <x:v>223</x:v>
      </x:c>
      <x:c r="F25" s="3" t="str">
        <x:v>No close counterpart in this alignment</x:v>
      </x:c>
      <x:c r="G25" s="13"/>
      <x:c r="H25" s="15"/>
      <x:c r="I25" s="15"/>
      <x:c r="J25" s="3" t="str">
        <x:v>No close counterpart in this alignment
The female concept distinguishes order carried by artifacts and places from order carried in memory within apparent disorder. Male M2-01 is broader and does not isolate this medium distinction.</x:v>
      </x:c>
    </x:row>
    <x:row r="26" ht="159" customHeight="1">
      <x:c r="A26" s="8" t="str">
        <x:v>Referent of organizational value claims</x:v>
      </x:c>
      <x:c r="B26" s="8" t="str">
        <x:v>F2-14: Referent of organizational value claims
Distinguishes interviews by the referent the participant uses when talking about the value of organization or how organized they are: whether organization is presented as universally necessary or beneficial for people in general (blanket value claims, universal prescriptions, or unqualified generic maxims), whether all claims are strictly self-referenced with no mention of other people, or whether the participant explicitly relativizes organizational needs across individuals or benchmarks their own organization against other people or an external scale. An interview can state a maxim and then exempt others from it, or assert being organized while ranking that claim against 'most people' rather than any absolute standard, in which case the comparative framing applies. Within-self domain comparisons (e.g., work versus home) do not count as comparative framing.</x:v>
      </x:c>
      <x:c r="C26" s="14" t="n">
        <x:f>'Concept details'!D23</x:f>
        <x:v>0.35052610383504956</x:v>
      </x:c>
      <x:c r="D26" s="16" t="n">
        <x:f>'Concept details'!J23</x:f>
        <x:v>88</x:v>
      </x:c>
      <x:c r="E26" s="16" t="n">
        <x:f>'Concept details'!Q23</x:f>
        <x:v>358</x:v>
      </x:c>
      <x:c r="F26" s="8" t="str">
        <x:v>No close counterpart in this alignment</x:v>
      </x:c>
      <x:c r="G26" s="14"/>
      <x:c r="H26" s="16"/>
      <x:c r="I26" s="16"/>
      <x:c r="J26" s="8" t="str">
        <x:v>No close counterpart in this alignment
The female concept distinguishes interpersonal comparison, self-only claims, and universal claims. Male M2-08 overlaps in universal maxims but does not isolate comparative referents.</x:v>
      </x:c>
    </x:row>
    <x:row r="27" ht="230.25" customHeight="1">
      <x:c r="A27" s="3" t="str">
        <x:v>Planning execution versus personal logistics</x:v>
      </x:c>
      <x:c r="B27" s="3" t="str">
        <x:v>No close counterpart in this alignment</x:v>
      </x:c>
      <x:c r="C27" s="13"/>
      <x:c r="D27" s="15"/>
      <x:c r="E27" s="15"/>
      <x:c r="F27" s="3" t="str">
        <x:v>M2-11: Execution planning versus personal logistics and task tracking
This concept captures the object of the participant's organizational effort: whether it targets the content of their work tasks or only their personal readiness and information about outstanding items. Participants with higher conscientiousness scores tend to describe how they plan and carry out the work itself: breaking tasks into steps, milestones, and objectives, gathering materials and knowledge before beginning, planning study sessions around tests and due dates, creating notes and records specifically to support later task execution, or laying out how team tasks are to be carried out. Participants with lower scores tend to describe either personal readiness logistics only (laying out clothes the night before, arriving early, setting up the workspace, tidiness, punctuality) or bare task tracking (running to-do lists, reminders, self-emails, calendars of meetings and deadlines) with no description of how the actual work is approached. Mid-range participants mix logistics or tracking with some task-level planning. This is distinct from deadline pacing (early versus last-minute), from prioritization and monitoring versus static storage, from interpersonal scope, and from the concreteness of description, and helps explain cases where a participant with elaborate morning or workspace routines scores low because the work content itself is never planned, and cases where a participant with few described tools scores high because the narrative centers on strategically planning and executing the work.</x:v>
      </x:c>
      <x:c r="G27" s="13" t="n">
        <x:f>'Concept details'!D36</x:f>
        <x:v>-0.04599414713567311</x:v>
      </x:c>
      <x:c r="H27" s="15" t="n">
        <x:f>'Concept details'!J36</x:f>
        <x:v>63</x:v>
      </x:c>
      <x:c r="I27" s="15" t="n">
        <x:f>'Concept details'!Q36</x:f>
        <x:v>218</x:v>
      </x:c>
      <x:c r="J27" s="3" t="str">
        <x:v>No close counterpart in this alignment
The male concept distinguishes planning the work itself from readiness or task tracking. Female F2-07 also covers task management, but does not make this specific content-versus-logistics distinction.</x:v>
      </x:c>
    </x:row>
    <x:row r="28" ht="216" customHeight="1">
      <x:c r="A28" s="8" t="str">
        <x:v>Granularity of organizing units</x:v>
      </x:c>
      <x:c r="B28" s="8" t="str">
        <x:v>No close counterpart in this alignment</x:v>
      </x:c>
      <x:c r="C28" s="14"/>
      <x:c r="D28" s="16"/>
      <x:c r="E28" s="16"/>
      <x:c r="F28" s="8" t="str">
        <x:v>M2-12: Granularity of the organizing unit in the participant's organization
This concept captures the scale or fineness of the unit around which the participant's organization operates, which is distinct from whether systems exist, from deadline pacing, from whether the organization is dynamic or static, and from how the work content versus logistics is planned. Participants with higher conscientiousness scores tend to describe organizing at fine-grained, recurring units: structuring individual tasks (a game plan per task, preparing materials and knowledge before beginning, outlines of tasks and milestones, prioritizing the most urgent items, planning specific study sessions or work phases) or maintaining day- and week-level rhythms (planning the day on a written schedule, aligning tasks daily, organizing a team toward daily targets). Participants in the middle range organize at the level of projects, courses, or deadlines (sequencing projects by due date or start and end time, completing coursework ahead of time, one-off thorough reorganizations). Participants with lower scores describe organization only at coarse, domain-level scale (a tidy desk, no clutter, being on time, generally meeting deadlines) or offer no enacted organizing unit at all, only trait claims, benefit statements, or reputational assertions. The concept is rated by the finest unit the participant clearly describes, regardless of how detailed or confident the description is.</x:v>
      </x:c>
      <x:c r="G28" s="14" t="n">
        <x:f>'Concept details'!D37</x:f>
        <x:v>0.19520744115455785</x:v>
      </x:c>
      <x:c r="H28" s="16" t="n">
        <x:f>'Concept details'!J37</x:f>
        <x:v>83</x:v>
      </x:c>
      <x:c r="I28" s="16" t="n">
        <x:f>'Concept details'!Q37</x:f>
        <x:v>322</x:v>
      </x:c>
      <x:c r="J28" s="8" t="str">
        <x:v>No close counterpart in this alignment
The male concept distinguishes domain, project, day/week, and task-level organization. Female F2-04 concerns specificity, which can vary within any of those units.</x:v>
      </x:c>
    </x:row>
    <x:row r="29" ht="201.75" customHeight="1">
      <x:c r="A29" s="3" t="str">
        <x:v>Diligence and attention during execution</x:v>
      </x:c>
      <x:c r="B29" s="3" t="str">
        <x:v>No close counterpart in this alignment</x:v>
      </x:c>
      <x:c r="C29" s="13"/>
      <x:c r="D29" s="15"/>
      <x:c r="E29" s="15"/>
      <x:c r="F29" s="3" t="str">
        <x:v>M2-13: Diligence and focus language in duty execution versus order-only or distractibility descriptions
This concept captures whether the participant's self-description centers on the disciplined, effortful execution of their duties rather than on the arrangement of things or spaces. Participants with higher conscientiousness scores often describe how they carry out work: doing duties 'one at a time with full concentration', refusing to let themselves be distracted, keeping on top of every piece of data, supervising others' work for compliance to standards, setting goals and targets across timescales, or persisting in doing things 'how they must be done no matter the challenges'. Participants with lower scores either describe only order, tidiness, or placement of items with no content about how work is performed, or openly describe attention problems: being easily distracted, having a hard time staying focused, or their mind being elsewhere while tasks are processed. This concept is distinct from whether organizational systems exist, deadline pacing, confidence, narrative framing, lapse handling, dynamic management, interpersonal scope, or the granularity of organizing units, because it rates the presence of diligence, focus, and persistence language about work execution itself, not the state of the participant's environment.</x:v>
      </x:c>
      <x:c r="G29" s="13" t="n">
        <x:f>'Concept details'!D38</x:f>
        <x:v>-0.2410436454592594</x:v>
      </x:c>
      <x:c r="H29" s="15" t="n">
        <x:f>'Concept details'!J38</x:f>
        <x:v>76</x:v>
      </x:c>
      <x:c r="I29" s="15" t="n">
        <x:f>'Concept details'!Q38</x:f>
        <x:v>294</x:v>
      </x:c>
      <x:c r="J29" s="3" t="str">
        <x:v>No close counterpart in this alignment
The male concept isolates focus and persistence during work versus distractibility or order-only accounts. Female concepts emphasize organization, its framing, and consequences.</x:v>
      </x:c>
    </x:row>
    <x:row r="30" ht="244.5" customHeight="1">
      <x:c r="A30" s="8" t="str">
        <x:v>Thoroughness of organizing effort</x:v>
      </x:c>
      <x:c r="B30" s="8" t="str">
        <x:v>No close counterpart in this alignment</x:v>
      </x:c>
      <x:c r="C30" s="14"/>
      <x:c r="D30" s="16"/>
      <x:c r="E30" s="16"/>
      <x:c r="F30" s="8" t="str">
        <x:v>M2-14: Depth and thoroughness of effort invested in organizing
This concept captures how much effort, time, and thoroughness the participant describes actually investing in organizing, preparing, maintaining order, or restoring it, and how complete or error-free they require the result to be. Participants with higher conscientiousness scores tend to describe substantial invested effort: exhaustive searches lasting many hours to protect others from loss, thorough one-off reorganizations of paperwork, meticulous planning, near-perfect standards of completeness, ensuring subordinates' compliance, or persisting 'no matter the challenges'. Mid-range participants describe deliberate, recurring preparatory effort (laying out clothes and checking belongings the night before, taking and filing clear notes as an ongoing practice). Participants with lower scores describe only minimal, quick, or low-investment acts ('a quick email', 'little reminders', 'I just get to it'), effort spent merely to compensate for their own disorganization (buffer time to find misplaced things), things 'slipping through the cracks', or routine habits maintained matter-of-factly with no thoroughness or completeness standard expressed. This is distinct from whether organizational systems exist, from deadline pacing, from confidence or narrative framing, from lapse handling (which rates whether failures are recovered from), from verification behaviors (checking correctness), and from diligence and focus language (concentration while executing duties): it rates the magnitude and depth of effort and the standard of completeness attached to the participant's own organizing behavior.</x:v>
      </x:c>
      <x:c r="G30" s="14" t="n">
        <x:f>'Concept details'!D39</x:f>
        <x:v>0.1916853241598129</x:v>
      </x:c>
      <x:c r="H30" s="16" t="n">
        <x:f>'Concept details'!J39</x:f>
        <x:v>62</x:v>
      </x:c>
      <x:c r="I30" s="16" t="n">
        <x:f>'Concept details'!Q39</x:f>
        <x:v>240</x:v>
      </x:c>
      <x:c r="J30" s="8" t="str">
        <x:v>No close counterpart in this alignment
The male concept rates the depth of invested effort and required completeness. Female strictness and routine-maintenance concepts do not separately measure effort magnitude.</x:v>
      </x:c>
    </x:row>
    <x:row r="31" ht="244.5" customHeight="1">
      <x:c r="A31" s="3" t="str">
        <x:v>Time commitments versus items and spaces</x:v>
      </x:c>
      <x:c r="B31" s="3" t="str">
        <x:v>No close counterpart in this alignment</x:v>
      </x:c>
      <x:c r="C31" s="13"/>
      <x:c r="D31" s="15"/>
      <x:c r="E31" s="15"/>
      <x:c r="F31" s="3" t="str">
        <x:v>M2-15: Temporal commitment tracking versus item and space arrangement
This concept captures what the participant's organization operates on: whether it targets their obligations and activities in time, or only the arrangement of items and spaces, or nothing identifiable at all. Participants with higher conscientiousness scores tend to describe organization that encompasses tracking or scheduling their commitments: keeping track of tasks, projects, deadlines, and worklists, planning their day on a schedule, ordering projects by start and end times, sequencing work by urgency, or staging preparation the evening before for the next day. Participants with lower scores tend to describe organization only as the placement, tidiness, or findability of physical or digital items and spaces (desk, table, wardrobe, belongings, stored emails and notes) with no mention of when anything will be done, or to offer only trait, reputational, benefit, or disorganization claims with no organized object at all. This concept is distinct from deadline pacing (whether work is finished early or last minute), from the dynamic-versus-static manner of management (prioritizing and monitoring versus storing), from the granularity of organizing units, and from execution planning: it rates only the target domain of the organization, regardless of how detailed, confident, or effortful the description is. It helps explain cases where a participant with a tidy, arranged environment scores lower because nothing in their account covers tasks, deadlines, or time, and cases where a participant with simple tools scores higher because their organization explicitly governs what must be done and when.</x:v>
      </x:c>
      <x:c r="G31" s="13" t="n">
        <x:f>'Concept details'!D40</x:f>
        <x:v>-0.134922456539348</x:v>
      </x:c>
      <x:c r="H31" s="15" t="n">
        <x:f>'Concept details'!J40</x:f>
        <x:v>82</x:v>
      </x:c>
      <x:c r="I31" s="15" t="n">
        <x:f>'Concept details'!Q40</x:f>
        <x:v>317</x:v>
      </x:c>
      <x:c r="J31" s="3" t="str">
        <x:v>No close counterpart in this alignment
The male concept isolates the object being organized. Female F2-07 overlaps but focuses on active task-management process. The male category for arranging items or spaces is a substantive zero, not missing evidence.</x:v>
      </x:c>
    </x:row>
  </x:sheetData>
  <x:mergeCells>
    <x:mergeCell ref="A2:E2"/>
    <x:mergeCell ref="A3:E3"/>
    <x:mergeCell ref="A4:E4"/>
    <x:mergeCell ref="A5:E5"/>
    <x:mergeCell ref="A6:E6"/>
    <x:mergeCell ref="A7:E7"/>
    <x:mergeCell ref="A8:E8"/>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9.4399995803833" hidden="0" customWidth="1"/>
    <x:col min="2" max="2" width="10" hidden="0" customWidth="1"/>
    <x:col min="3" max="3" width="38.88999938964844" hidden="0" customWidth="1"/>
    <x:col min="4" max="4" width="12.220000267028809" hidden="0" customWidth="1"/>
    <x:col min="5" max="5" width="10" hidden="0" customWidth="1"/>
    <x:col min="6" max="6" width="111.11000061035156" hidden="0" customWidth="1"/>
    <x:col min="7" max="7" width="46.66999816894531" hidden="0" customWidth="1"/>
    <x:col min="8" max="8" width="72.22000122070312" hidden="0" customWidth="1"/>
    <x:col min="9" max="9" width="9.4399995803833" hidden="0" customWidth="1"/>
    <x:col min="10" max="10" width="9.4399995803833" hidden="0" customWidth="1"/>
    <x:col min="11" max="11" width="9.4399995803833" hidden="0" customWidth="1"/>
    <x:col min="12" max="12" width="9.4399995803833" hidden="0" customWidth="1"/>
    <x:col min="13" max="13" width="9.4399995803833" hidden="0" customWidth="1"/>
    <x:col min="14" max="14" width="9.4399995803833" hidden="0" customWidth="1"/>
    <x:col min="15" max="15" width="9.4399995803833" hidden="0" customWidth="1"/>
    <x:col min="16" max="16" width="9.4399995803833" hidden="0" customWidth="1"/>
    <x:col min="17" max="17" width="9.4399995803833" hidden="0" customWidth="1"/>
    <x:col min="18" max="18" width="9.4399995803833" hidden="0" customWidth="1"/>
    <x:col min="19" max="19" width="9.4399995803833" hidden="0" customWidth="1"/>
    <x:col min="20" max="20" width="9.4399995803833" hidden="0" customWidth="1"/>
    <x:col min="21" max="21" width="9.4399995803833" hidden="0" customWidth="1"/>
    <x:col min="22" max="22" width="9.4399995803833" hidden="0" customWidth="1"/>
  </x:cols>
  <x:sheetData>
    <x:row r="1">
      <x:c r="A1" s="3"/>
      <x:c r="B1" s="3"/>
      <x:c r="C1" s="3"/>
      <x:c r="D1" s="3"/>
      <x:c r="E1" s="3"/>
      <x:c r="F1" s="3"/>
      <x:c r="G1" s="3"/>
      <x:c r="H1" s="3"/>
      <x:c r="I1" s="3"/>
      <x:c r="J1" s="3"/>
      <x:c r="K1" s="3"/>
      <x:c r="L1" s="3"/>
      <x:c r="M1" s="3"/>
      <x:c r="N1" s="3"/>
      <x:c r="O1" s="3"/>
      <x:c r="P1" s="3"/>
      <x:c r="Q1" s="3"/>
      <x:c r="R1" s="3"/>
      <x:c r="S1" s="3"/>
      <x:c r="T1" s="3"/>
      <x:c r="U1" s="3"/>
      <x:c r="V1" s="3"/>
    </x:row>
    <x:row r="2" ht="34.5" customHeight="1">
      <x:c r="A2" s="9" t="str">
        <x:v>Question 2: Describe how organized you are and how this has affected your behavior at work or school</x:v>
      </x:c>
      <x:c r="B2" s="3"/>
      <x:c r="C2" s="3"/>
      <x:c r="D2" s="3"/>
      <x:c r="E2" s="3"/>
      <x:c r="F2" s="3"/>
      <x:c r="G2" s="3"/>
      <x:c r="H2" s="3"/>
      <x:c r="I2" s="3"/>
      <x:c r="J2" s="3"/>
      <x:c r="K2" s="3"/>
      <x:c r="L2" s="3"/>
      <x:c r="M2" s="3"/>
      <x:c r="N2" s="3"/>
      <x:c r="O2" s="3"/>
      <x:c r="P2" s="3"/>
      <x:c r="Q2" s="3"/>
      <x:c r="R2" s="3"/>
      <x:c r="S2" s="3"/>
      <x:c r="T2" s="3"/>
      <x:c r="U2" s="3"/>
      <x:c r="V2" s="3"/>
    </x:row>
    <x:row r="3" ht="22.5" customHeight="1">
      <x:c r="A3" s="10" t="str">
        <x:v>Original accepted concepts, frozen coefficients, and sample counts</x:v>
      </x:c>
      <x:c r="B3" s="3"/>
      <x:c r="C3" s="3"/>
      <x:c r="D3" s="3"/>
      <x:c r="E3" s="3"/>
      <x:c r="F3" s="3"/>
      <x:c r="G3" s="3"/>
      <x:c r="H3" s="3"/>
      <x:c r="I3" s="3"/>
      <x:c r="J3" s="3"/>
      <x:c r="K3" s="3"/>
      <x:c r="L3" s="3"/>
      <x:c r="M3" s="3"/>
      <x:c r="N3" s="3"/>
      <x:c r="O3" s="3"/>
      <x:c r="P3" s="3"/>
      <x:c r="Q3" s="3"/>
      <x:c r="R3" s="3"/>
      <x:c r="S3" s="3"/>
      <x:c r="T3" s="3"/>
      <x:c r="U3" s="3"/>
      <x:c r="V3" s="3"/>
    </x:row>
    <x:row r="4" ht="22.5" customHeight="1">
      <x:c r="A4" s="10" t="str">
        <x:v>Female source: conscientiousness_female_text_c2_linear_glm_30_rounds_trial100_neighborhood20_snippets_thoughts_uncapped_train20_test80_v1 — final/model.json</x:v>
      </x:c>
      <x:c r="B4" s="3"/>
      <x:c r="C4" s="3"/>
      <x:c r="D4" s="3"/>
      <x:c r="E4" s="3"/>
      <x:c r="F4" s="3"/>
      <x:c r="G4" s="3"/>
      <x:c r="H4" s="3"/>
      <x:c r="I4" s="3"/>
      <x:c r="J4" s="3"/>
      <x:c r="K4" s="3"/>
      <x:c r="L4" s="3"/>
      <x:c r="M4" s="3"/>
      <x:c r="N4" s="3"/>
      <x:c r="O4" s="3"/>
      <x:c r="P4" s="3"/>
      <x:c r="Q4" s="3"/>
      <x:c r="R4" s="3"/>
      <x:c r="S4" s="3"/>
      <x:c r="T4" s="3"/>
      <x:c r="U4" s="3"/>
      <x:c r="V4" s="3"/>
    </x:row>
    <x:row r="5" ht="22.5" customHeight="1">
      <x:c r="A5" s="10" t="str">
        <x:v>Male source: conscientiousness_male_text_c2_linear_glm_30_rounds_trial100_neighborhood20_snippets_thoughts_uncapped_train20_test80_v1 — final/model.json</x:v>
      </x:c>
      <x:c r="B5" s="3"/>
      <x:c r="C5" s="3"/>
      <x:c r="D5" s="3"/>
      <x:c r="E5" s="3"/>
      <x:c r="F5" s="3"/>
      <x:c r="G5" s="3"/>
      <x:c r="H5" s="3"/>
      <x:c r="I5" s="3"/>
      <x:c r="J5" s="3"/>
      <x:c r="K5" s="3"/>
      <x:c r="L5" s="3"/>
      <x:c r="M5" s="3"/>
      <x:c r="N5" s="3"/>
      <x:c r="O5" s="3"/>
      <x:c r="P5" s="3"/>
      <x:c r="Q5" s="3"/>
      <x:c r="R5" s="3"/>
      <x:c r="S5" s="3"/>
      <x:c r="T5" s="3"/>
      <x:c r="U5" s="3"/>
      <x:c r="V5" s="3"/>
    </x:row>
    <x:row r="6" ht="22.5" customHeight="1">
      <x:c r="A6" s="10" t="str">
        <x:v>Definitions, questions, and mappings are verbatim from the saved models. Directional claims within LLM-generated definitions are hypotheses, not independently established findings.</x:v>
      </x:c>
      <x:c r="B6" s="3"/>
      <x:c r="C6" s="3"/>
      <x:c r="D6" s="3"/>
      <x:c r="E6" s="3"/>
      <x:c r="F6" s="3"/>
      <x:c r="G6" s="3"/>
      <x:c r="H6" s="3"/>
      <x:c r="I6" s="3"/>
      <x:c r="J6" s="3"/>
      <x:c r="K6" s="3"/>
      <x:c r="L6" s="3"/>
      <x:c r="M6" s="3"/>
      <x:c r="N6" s="3"/>
      <x:c r="O6" s="3"/>
      <x:c r="P6" s="3"/>
      <x:c r="Q6" s="3"/>
      <x:c r="R6" s="3"/>
      <x:c r="S6" s="3"/>
      <x:c r="T6" s="3"/>
      <x:c r="U6" s="3"/>
      <x:c r="V6" s="3"/>
    </x:row>
    <x:row r="7" ht="22.5" customHeight="1">
      <x:c r="A7" s="10" t="str">
        <x:v>Counts come from final/train_explanations.json and holdout/all_explanations.json and were reconciled to participant IDs, concept-score matrices, coefficients, and predictions.</x:v>
      </x:c>
      <x:c r="B7" s="3"/>
      <x:c r="C7" s="3"/>
      <x:c r="D7" s="3"/>
      <x:c r="E7" s="3"/>
      <x:c r="F7" s="3"/>
      <x:c r="G7" s="3"/>
      <x:c r="H7" s="3"/>
      <x:c r="I7" s="3"/>
      <x:c r="J7" s="3"/>
      <x:c r="K7" s="3"/>
      <x:c r="L7" s="3"/>
      <x:c r="M7" s="3"/>
      <x:c r="N7" s="3"/>
      <x:c r="O7" s="3"/>
      <x:c r="P7" s="3"/>
      <x:c r="Q7" s="3"/>
      <x:c r="R7" s="3"/>
      <x:c r="S7" s="3"/>
      <x:c r="T7" s="3"/>
      <x:c r="U7" s="3"/>
      <x:c r="V7" s="3"/>
    </x:row>
    <x:row r="8" ht="22.5" customHeight="1">
      <x:c r="A8" s="10" t="str">
        <x:v>Substantive n is based on valid category wording, not whether the score is nonzero. Full guides and category counts are in Response categories.</x:v>
      </x:c>
      <x:c r="B8" s="3"/>
      <x:c r="C8" s="3"/>
      <x:c r="D8" s="3"/>
      <x:c r="E8" s="3"/>
      <x:c r="F8" s="3"/>
      <x:c r="G8" s="3"/>
      <x:c r="H8" s="3"/>
      <x:c r="I8" s="3"/>
      <x:c r="J8" s="3"/>
      <x:c r="K8" s="3"/>
      <x:c r="L8" s="3"/>
      <x:c r="M8" s="3"/>
      <x:c r="N8" s="3"/>
      <x:c r="O8" s="3"/>
      <x:c r="P8" s="3"/>
      <x:c r="Q8" s="3"/>
      <x:c r="R8" s="3"/>
      <x:c r="S8" s="3"/>
      <x:c r="T8" s="3"/>
      <x:c r="U8" s="3"/>
      <x:c r="V8" s="3"/>
    </x:row>
    <x:row r="9" ht="75" customHeight="1">
      <x:c r="A9" s="7" t="str">
        <x:v>ID</x:v>
      </x:c>
      <x:c r="B9" s="7" t="str">
        <x:v>Gender sample</x:v>
      </x:c>
      <x:c r="C9" s="7" t="str">
        <x:v>Original concept name</x:v>
      </x:c>
      <x:c r="D9" s="7" t="str">
        <x:v>Weight b</x:v>
      </x:c>
      <x:c r="E9" s="7" t="str">
        <x:v>Accepted round</x:v>
      </x:c>
      <x:c r="F9" s="7" t="str">
        <x:v>Full original definition</x:v>
      </x:c>
      <x:c r="G9" s="7" t="str">
        <x:v>Original rating question</x:v>
      </x:c>
      <x:c r="H9" s="7" t="str">
        <x:v>Response mapping: score → category</x:v>
      </x:c>
      <x:c r="I9" s="7" t="str">
        <x:v>Train total n</x:v>
      </x:c>
      <x:c r="J9" s="7" t="str">
        <x:v>Train substantive n</x:v>
      </x:c>
      <x:c r="K9" s="7" t="str">
        <x:v>Train uncertain n</x:v>
      </x:c>
      <x:c r="L9" s="7" t="str">
        <x:v>Train not applicable n</x:v>
      </x:c>
      <x:c r="M9" s="7" t="str">
        <x:v>Train invalid n</x:v>
      </x:c>
      <x:c r="N9" s="7" t="str">
        <x:v>Train nonzero n</x:v>
      </x:c>
      <x:c r="O9" s="7" t="str">
        <x:v>Train substantive zero n</x:v>
      </x:c>
      <x:c r="P9" s="7" t="str">
        <x:v>Holdout total n</x:v>
      </x:c>
      <x:c r="Q9" s="7" t="str">
        <x:v>Holdout substantive n</x:v>
      </x:c>
      <x:c r="R9" s="7" t="str">
        <x:v>Holdout uncertain n</x:v>
      </x:c>
      <x:c r="S9" s="7" t="str">
        <x:v>Holdout not applicable n</x:v>
      </x:c>
      <x:c r="T9" s="7" t="str">
        <x:v>Holdout invalid n</x:v>
      </x:c>
      <x:c r="U9" s="7" t="str">
        <x:v>Holdout nonzero n</x:v>
      </x:c>
      <x:c r="V9" s="7" t="str">
        <x:v>Holdout substantive zero n</x:v>
      </x:c>
    </x:row>
    <x:row r="10" ht="93.75" customHeight="1">
      <x:c r="A10" s="8" t="str">
        <x:v>F2-01</x:v>
      </x:c>
      <x:c r="B10" s="8" t="str">
        <x:v>female</x:v>
      </x:c>
      <x:c r="C10" s="8" t="str">
        <x:v>Maintenance of organizational routines across life domains</x:v>
      </x:c>
      <x:c r="D10" s="20" t="n">
        <x:v>-0.057537962300249414</x:v>
      </x:c>
      <x:c r="E10" s="8" t="n">
        <x:v>1</x:v>
      </x:c>
      <x:c r="F10" s="8" t="str">
        <x:v>Distinguishes participants by whether they describe stable, actively maintained organizational routines that span both work/school and personal life, versus organization that exists only in select domains or is repeatedly attempted but abandoned. Higher-scoring conscientiousness interviews consistently describe ongoing habits (schedules, checklists, routines) that they keep up over time in multiple areas of life. Mid-range interviews describe organization in one domain while another is disorganized or cluttered. Lower-scoring interviews describe repeated efforts to get organized (bins, purges, lists) that fail or get abandoned, with resulting piles or avoidance.</x:v>
      </x:c>
      <x:c r="G10" s="8" t="str">
        <x:v>Based on the interview, does the participant describe organizational routines that they maintain consistently across work/school and personal life?</x:v>
      </x:c>
      <x:c r="H10" s="8" t="str">
        <x:v>2: Sustained routines across multiple life domains
1: Organization in some domains but not others
-1: Repeated attempts at organization that fail or lapse
0: Uncertain</x:v>
      </x:c>
      <x:c r="I10" s="22" t="n">
        <x:v>92</x:v>
      </x:c>
      <x:c r="J10" s="22" t="n">
        <x:v>50</x:v>
      </x:c>
      <x:c r="K10" s="22" t="n">
        <x:v>42</x:v>
      </x:c>
      <x:c r="L10" s="22" t="n">
        <x:v>0</x:v>
      </x:c>
      <x:c r="M10" s="22" t="n">
        <x:v>0</x:v>
      </x:c>
      <x:c r="N10" s="22" t="n">
        <x:v>50</x:v>
      </x:c>
      <x:c r="O10" s="22" t="n">
        <x:v>0</x:v>
      </x:c>
      <x:c r="P10" s="22" t="n">
        <x:v>370</x:v>
      </x:c>
      <x:c r="Q10" s="22" t="n">
        <x:v>167</x:v>
      </x:c>
      <x:c r="R10" s="22" t="n">
        <x:v>201</x:v>
      </x:c>
      <x:c r="S10" s="22" t="n">
        <x:v>0</x:v>
      </x:c>
      <x:c r="T10" s="22" t="n">
        <x:v>2</x:v>
      </x:c>
      <x:c r="U10" s="22" t="n">
        <x:v>167</x:v>
      </x:c>
      <x:c r="V10" s="22" t="n">
        <x:v>0</x:v>
      </x:c>
    </x:row>
    <x:row r="11" ht="102" customHeight="1">
      <x:c r="A11" s="3" t="str">
        <x:v>F2-02</x:v>
      </x:c>
      <x:c r="B11" s="3" t="str">
        <x:v>female</x:v>
      </x:c>
      <x:c r="C11" s="3" t="str">
        <x:v>Behavioral and emotional response to accumulated disorder</x:v>
      </x:c>
      <x:c r="D11" s="21" t="n">
        <x:v>0.06897804259345919</x:v>
      </x:c>
      <x:c r="E11" s="3" t="n">
        <x:v>2</x:v>
      </x:c>
      <x:c r="F11" s="3" t="str">
        <x:v>Distinguishes participants by how they react when clutter or disorganization builds up, independent of how organized they are overall or in which domains. Lower-scoring conscientiousness interviews describe disorder that leads to avoidance, demotivation, frustration, or embarrassment (e.g., avoiding studying in a messy room, feeling unmotivated at home, putting off organizing for long periods, only cleaning when others visit). Higher-scoring interviews either tolerate disorder without it interfering with task engagement (an 'organized mess' they can still work in) or actively resolve it when it accumulates (a pile that 'bugs me' gets filed). This concept captures the functional consequence of disorder rather than the presence of routines, which the existing concept already covers.</x:v>
      </x:c>
      <x:c r="G11" s="3" t="str">
        <x:v>When the participant describes clutter or disorganization building up, how do they respond to it?</x:v>
      </x:c>
      <x:c r="H11" s="3" t="str">
        <x:v>-2: Disorder triggers avoidance, demotivation, or distress
1: Disorder tolerated without task avoidance
2: Disorder actively resolved when it accumulates
0: Not applicable
0: Uncertain</x:v>
      </x:c>
      <x:c r="I11" s="23" t="n">
        <x:v>92</x:v>
      </x:c>
      <x:c r="J11" s="23" t="n">
        <x:v>22</x:v>
      </x:c>
      <x:c r="K11" s="23" t="n">
        <x:v>3</x:v>
      </x:c>
      <x:c r="L11" s="23" t="n">
        <x:v>67</x:v>
      </x:c>
      <x:c r="M11" s="23" t="n">
        <x:v>0</x:v>
      </x:c>
      <x:c r="N11" s="23" t="n">
        <x:v>22</x:v>
      </x:c>
      <x:c r="O11" s="23" t="n">
        <x:v>0</x:v>
      </x:c>
      <x:c r="P11" s="23" t="n">
        <x:v>370</x:v>
      </x:c>
      <x:c r="Q11" s="23" t="n">
        <x:v>86</x:v>
      </x:c>
      <x:c r="R11" s="23" t="n">
        <x:v>35</x:v>
      </x:c>
      <x:c r="S11" s="23" t="n">
        <x:v>247</x:v>
      </x:c>
      <x:c r="T11" s="23" t="n">
        <x:v>2</x:v>
      </x:c>
      <x:c r="U11" s="23" t="n">
        <x:v>86</x:v>
      </x:c>
      <x:c r="V11" s="23" t="n">
        <x:v>0</x:v>
      </x:c>
    </x:row>
    <x:row r="12" ht="144.75" customHeight="1">
      <x:c r="A12" s="8" t="str">
        <x:v>F2-03</x:v>
      </x:c>
      <x:c r="B12" s="8" t="str">
        <x:v>female</x:v>
      </x:c>
      <x:c r="C12" s="8" t="str">
        <x:v>Framing of organization as natural disposition or enjoyment versus effortful compensation for acknowledged deficits</x:v>
      </x:c>
      <x:c r="D12" s="20" t="n">
        <x:v>0.22410042381742873</x:v>
      </x:c>
      <x:c r="E12" s="8" t="n">
        <x:v>3</x:v>
      </x:c>
      <x:c r="F12" s="8" t="str">
        <x:v>Distinguishes participants by how they frame the origin and motivation of their organizational behavior, independent of whether routines are maintained or how they react to clutter. Higher-scoring conscientiousness interviews describe organization as an integral part of who they are, something they take pride in, enjoy, or that comes naturally (e.g., building a cleaning business from organizational skills, saying an organized home 'makes me happy', describing a strict routine matter-of-factly). Mid-range interviews describe organization neutrally as a stable practice maintained out of habit or practical necessity. Lower-scoring interviews frame their organization as a deliberate workaround for self-acknowledged weaknesses such as forgetfulness, ADHD, a history of disorganization, or ongoing struggle, using language like 'I try my best', 'need work even to this day', or describing systems adopted specifically to compensate for these deficits. This captures the motivational and self-concept framing of organization, which the existing concepts (routine maintenance and response to disorder) do not cover.</x:v>
      </x:c>
      <x:c r="G12" s="8" t="str">
        <x:v>How does the participant frame the origin and motivation of their organizational behavior?</x:v>
      </x:c>
      <x:c r="H12" s="8" t="str">
        <x:v>3: Organization as valued identity or source of enjoyment and pride
2: Organization as stable natural practice described neutrally
1: Organization as effortful compensation for self-acknowledged deficits
0: Uncertain</x:v>
      </x:c>
      <x:c r="I12" s="22" t="n">
        <x:v>92</x:v>
      </x:c>
      <x:c r="J12" s="22" t="n">
        <x:v>88</x:v>
      </x:c>
      <x:c r="K12" s="22" t="n">
        <x:v>4</x:v>
      </x:c>
      <x:c r="L12" s="22" t="n">
        <x:v>0</x:v>
      </x:c>
      <x:c r="M12" s="22" t="n">
        <x:v>0</x:v>
      </x:c>
      <x:c r="N12" s="22" t="n">
        <x:v>88</x:v>
      </x:c>
      <x:c r="O12" s="22" t="n">
        <x:v>0</x:v>
      </x:c>
      <x:c r="P12" s="22" t="n">
        <x:v>370</x:v>
      </x:c>
      <x:c r="Q12" s="22" t="n">
        <x:v>331</x:v>
      </x:c>
      <x:c r="R12" s="22" t="n">
        <x:v>39</x:v>
      </x:c>
      <x:c r="S12" s="22" t="n">
        <x:v>0</x:v>
      </x:c>
      <x:c r="T12" s="22" t="n">
        <x:v>0</x:v>
      </x:c>
      <x:c r="U12" s="22" t="n">
        <x:v>331</x:v>
      </x:c>
      <x:c r="V12" s="22" t="n">
        <x:v>0</x:v>
      </x:c>
    </x:row>
    <x:row r="13" ht="159" customHeight="1">
      <x:c r="A13" s="3" t="str">
        <x:v>F2-04</x:v>
      </x:c>
      <x:c r="B13" s="3" t="str">
        <x:v>female</x:v>
      </x:c>
      <x:c r="C13" s="3" t="str">
        <x:v>Concreteness of described organizational practices and their outcomes</x:v>
      </x:c>
      <x:c r="D13" s="21" t="n">
        <x:v>0.07694789243192675</x:v>
      </x:c>
      <x:c r="E13" s="3" t="n">
        <x:v>4</x:v>
      </x:c>
      <x:c r="F13" s="3" t="str">
        <x:v>Distinguishes participants by how concrete and specific their descriptions of organizational behavior are, independent of how organized they claim to be or how they frame its origin. Higher-scoring conscientiousness interviews ground their answers in specific, observable practices and tangible outcomes: named routines described in detail (a daily cleaning schedule covering specific parts of the home, preparing everything the night before, tidying the desk after each shift, a folder structure for each work area) and concrete benefits (self-contracting the building of a home, keeping meticulous notes on busy work shifts, finishing college assignments on time). Lower-scoring interviews with similar self-ratings assert being organized in generic terms, list categories of tools or domains in passing (calendars, checklists, spreadsheets, 'everything has its place'), and describe benefits abstractly ('get tasks done', 'make sure things get finished') without a specific practice, incident, or outcome. This captures evidentiary specificity, which the existing concepts on routine maintenance, disorder response, and motivational framing do not cover, and it separates interviews with nearly identical existing concept scores but different outcomes.</x:v>
      </x:c>
      <x:c r="G13" s="3" t="str">
        <x:v>How concrete and specific is the participant's description of their organizational practices and the results those practices produce?</x:v>
      </x:c>
      <x:c r="H13" s="3" t="str">
        <x:v>3: Specific practices and concrete outcomes described
2: Some concrete detail mixed with generic claims
1: Generic or abstract claims with little concrete detail
0: Uncertain</x:v>
      </x:c>
      <x:c r="I13" s="23" t="n">
        <x:v>92</x:v>
      </x:c>
      <x:c r="J13" s="23" t="n">
        <x:v>92</x:v>
      </x:c>
      <x:c r="K13" s="23" t="n">
        <x:v>0</x:v>
      </x:c>
      <x:c r="L13" s="23" t="n">
        <x:v>0</x:v>
      </x:c>
      <x:c r="M13" s="23" t="n">
        <x:v>0</x:v>
      </x:c>
      <x:c r="N13" s="23" t="n">
        <x:v>92</x:v>
      </x:c>
      <x:c r="O13" s="23" t="n">
        <x:v>0</x:v>
      </x:c>
      <x:c r="P13" s="23" t="n">
        <x:v>370</x:v>
      </x:c>
      <x:c r="Q13" s="23" t="n">
        <x:v>368</x:v>
      </x:c>
      <x:c r="R13" s="23" t="n">
        <x:v>2</x:v>
      </x:c>
      <x:c r="S13" s="23" t="n">
        <x:v>0</x:v>
      </x:c>
      <x:c r="T13" s="23" t="n">
        <x:v>0</x:v>
      </x:c>
      <x:c r="U13" s="23" t="n">
        <x:v>368</x:v>
      </x:c>
      <x:c r="V13" s="23" t="n">
        <x:v>0</x:v>
      </x:c>
    </x:row>
    <x:row r="14" ht="130.5" customHeight="1">
      <x:c r="A14" s="8" t="str">
        <x:v>F2-05</x:v>
      </x:c>
      <x:c r="B14" s="8" t="str">
        <x:v>female</x:v>
      </x:c>
      <x:c r="C14" s="8" t="str">
        <x:v>Absolutism versus hedging in stated organizational standards</x:v>
      </x:c>
      <x:c r="D14" s="20" t="n">
        <x:v>0.20614684849806902</x:v>
      </x:c>
      <x:c r="E14" s="8" t="n">
        <x:v>5</x:v>
      </x:c>
      <x:c r="F14" s="8" t="str">
        <x:v>Distinguishes participants by how absolute or qualified their statements about their own organizational standards are, independent of whether routines are maintained, how they respond to clutter, or how concrete their practices are. Higher-scoring interviews describe organization in uncompromising, all-or-nothing terms: every item must have a place, unnecessary possessions are discarded, disorder is hated or intolerable, and out-of-place items must be fixed immediately before anything else. Mid-range interviews give strong but bounded endorsements ('very organized') that are tempered by practicality, acknowledged limits, or occasional distraction. Lower-scoring interviews hedge or scale down their self-assessment with qualifiers like 'pretty organized', 'organized enough', 'not obsessive', or 'fairly organized', or explicitly reject extreme organization as wasteful. This concept captures the strictness and linguistic intensity of the standard itself, from most absolute to most hedged.</x:v>
      </x:c>
      <x:c r="G14" s="8" t="str">
        <x:v>How absolute or hedged are the participant's statements about their own organizational standards?</x:v>
      </x:c>
      <x:c r="H14" s="8" t="str">
        <x:v>3: Uncompromising absolute standards
2: Strong but bounded endorsement
1: Hedged or scaled-down self-assessment
0: Uncertain</x:v>
      </x:c>
      <x:c r="I14" s="22" t="n">
        <x:v>92</x:v>
      </x:c>
      <x:c r="J14" s="22" t="n">
        <x:v>87</x:v>
      </x:c>
      <x:c r="K14" s="22" t="n">
        <x:v>5</x:v>
      </x:c>
      <x:c r="L14" s="22" t="n">
        <x:v>0</x:v>
      </x:c>
      <x:c r="M14" s="22" t="n">
        <x:v>0</x:v>
      </x:c>
      <x:c r="N14" s="22" t="n">
        <x:v>87</x:v>
      </x:c>
      <x:c r="O14" s="22" t="n">
        <x:v>0</x:v>
      </x:c>
      <x:c r="P14" s="22" t="n">
        <x:v>370</x:v>
      </x:c>
      <x:c r="Q14" s="22" t="n">
        <x:v>345</x:v>
      </x:c>
      <x:c r="R14" s="22" t="n">
        <x:v>23</x:v>
      </x:c>
      <x:c r="S14" s="22" t="n">
        <x:v>0</x:v>
      </x:c>
      <x:c r="T14" s="22" t="n">
        <x:v>2</x:v>
      </x:c>
      <x:c r="U14" s="22" t="n">
        <x:v>345</x:v>
      </x:c>
      <x:c r="V14" s="22" t="n">
        <x:v>0</x:v>
      </x:c>
    </x:row>
    <x:row r="15" ht="159" customHeight="1">
      <x:c r="A15" s="3" t="str">
        <x:v>F2-06</x:v>
      </x:c>
      <x:c r="B15" s="3" t="str">
        <x:v>female</x:v>
      </x:c>
      <x:c r="C15" s="3" t="str">
        <x:v>Severity of self-acknowledged organizational shortcomings or dysfunction</x:v>
      </x:c>
      <x:c r="D15" s="21" t="n">
        <x:v>0.30453078685160634</x:v>
      </x:c>
      <x:c r="E15" s="3" t="n">
        <x:v>7</x:v>
      </x:c>
      <x:c r="F15" s="3" t="str">
        <x:v>Distinguishes participants by whether, and how severely, they acknowledge their own organizational weaknesses, limitations, or areas of dysfunction, independent of how organized they claim to be, how they frame their motivation, or how absolute their standards are. Higher-scoring conscientiousness interviews describe only strengths and admit no shortcomings at all, even when their language is hedged (e.g., 'pretty well organized' with no admitted weakness). Mid-range interviews acknowledge bounded, practical limitations such as time constraints, prioritization tradeoffs, or occasional frustration while overall functioning remains intact. Lower-scoring interviews go further: admitting personal inefficiency, functioning poorly under certain conditions, or describing an entire life domain as disorganized ('an absolute disaster' in personal life, 'I do not function well around mess', 'I may take a long route' to get things done, organizing 'so that I won't fail'). This concept captures the presence and severity of disclosed dysfunction, which separates interviews with nearly identical routine-maintenance and absolutism ratings but very different outcomes: the strongest predictors of low scores are not hedged language per se but explicit admissions of struggle, inefficiency, or domain-level collapse.</x:v>
      </x:c>
      <x:c r="G15" s="3" t="str">
        <x:v>Does the participant acknowledge any of their own organizational shortcomings, limitations, or dysfunctional areas, and how severe are the admitted problems?</x:v>
      </x:c>
      <x:c r="H15" s="3" t="str">
        <x:v>2: No acknowledged shortcomings or limitations
1: Bounded limitations or prioritization tradeoffs
-1: Acknowledged inefficiency or functional struggle
-2: Severe self-described dysfunction in a life domain
0: Uncertain</x:v>
      </x:c>
      <x:c r="I15" s="23" t="n">
        <x:v>92</x:v>
      </x:c>
      <x:c r="J15" s="23" t="n">
        <x:v>90</x:v>
      </x:c>
      <x:c r="K15" s="23" t="n">
        <x:v>0</x:v>
      </x:c>
      <x:c r="L15" s="23" t="n">
        <x:v>0</x:v>
      </x:c>
      <x:c r="M15" s="23" t="n">
        <x:v>2</x:v>
      </x:c>
      <x:c r="N15" s="23" t="n">
        <x:v>90</x:v>
      </x:c>
      <x:c r="O15" s="23" t="n">
        <x:v>0</x:v>
      </x:c>
      <x:c r="P15" s="23" t="n">
        <x:v>370</x:v>
      </x:c>
      <x:c r="Q15" s="23" t="n">
        <x:v>364</x:v>
      </x:c>
      <x:c r="R15" s="23" t="n">
        <x:v>0</x:v>
      </x:c>
      <x:c r="S15" s="23" t="n">
        <x:v>0</x:v>
      </x:c>
      <x:c r="T15" s="23" t="n">
        <x:v>6</x:v>
      </x:c>
      <x:c r="U15" s="23" t="n">
        <x:v>364</x:v>
      </x:c>
      <x:c r="V15" s="23" t="n">
        <x:v>0</x:v>
      </x:c>
    </x:row>
    <x:row r="16" ht="116.25" customHeight="1">
      <x:c r="A16" s="8" t="str">
        <x:v>F2-07</x:v>
      </x:c>
      <x:c r="B16" s="8" t="str">
        <x:v>female</x:v>
      </x:c>
      <x:c r="C16" s="8" t="str">
        <x:v>Proactive task and time management versus static physical order</x:v>
      </x:c>
      <x:c r="D16" s="20" t="n">
        <x:v>0.17514226254400012</x:v>
      </x:c>
      <x:c r="E16" s="8" t="n">
        <x:v>8</x:v>
      </x:c>
      <x:c r="F16" s="8" t="str">
        <x:v>Distinguishes participants by whether they describe actively managing their work over time through planning, prioritization, sequencing, or early completion, versus describing organization only as a static state of physical order (a neat desk, tidy space, things easy to find) or as named tools without any description of how tasks are actually scheduled or sequenced. Participants who describe temporal control of their workload (breaking projects into steps, tackling the hardest part first, prioritizing urgent tasks, scheduling weekly time for readings, finishing assignments on time or early, structuring the day for multiple simultaneous tasks) receive higher scores. Participants who describe only the current state of their space or the efficiency benefits of tidiness, with no described process for managing tasks across time, receive lower scores. This captures dynamic task management over time.</x:v>
      </x:c>
      <x:c r="G16" s="8" t="str">
        <x:v>How does the participant describe their approach to organization and task management?</x:v>
      </x:c>
      <x:c r="H16" s="8" t="str">
        <x:v>2: Detailed task planning, prioritization, or early completion
1: General time management or day structuring without detail
-1: Static physical order or named tools with no task management process
0: Uncertain</x:v>
      </x:c>
      <x:c r="I16" s="22" t="n">
        <x:v>92</x:v>
      </x:c>
      <x:c r="J16" s="22" t="n">
        <x:v>84</x:v>
      </x:c>
      <x:c r="K16" s="22" t="n">
        <x:v>8</x:v>
      </x:c>
      <x:c r="L16" s="22" t="n">
        <x:v>0</x:v>
      </x:c>
      <x:c r="M16" s="22" t="n">
        <x:v>0</x:v>
      </x:c>
      <x:c r="N16" s="22" t="n">
        <x:v>84</x:v>
      </x:c>
      <x:c r="O16" s="22" t="n">
        <x:v>0</x:v>
      </x:c>
      <x:c r="P16" s="22" t="n">
        <x:v>370</x:v>
      </x:c>
      <x:c r="Q16" s="22" t="n">
        <x:v>343</x:v>
      </x:c>
      <x:c r="R16" s="22" t="n">
        <x:v>26</x:v>
      </x:c>
      <x:c r="S16" s="22" t="n">
        <x:v>0</x:v>
      </x:c>
      <x:c r="T16" s="22" t="n">
        <x:v>1</x:v>
      </x:c>
      <x:c r="U16" s="22" t="n">
        <x:v>343</x:v>
      </x:c>
      <x:c r="V16" s="22" t="n">
        <x:v>0</x:v>
      </x:c>
    </x:row>
    <x:row r="17" ht="130.5" customHeight="1">
      <x:c r="A17" s="3" t="str">
        <x:v>F2-08</x:v>
      </x:c>
      <x:c r="B17" s="3" t="str">
        <x:v>female</x:v>
      </x:c>
      <x:c r="C17" s="3" t="str">
        <x:v>Breadth of life domains in which organization's benefits are claimed</x:v>
      </x:c>
      <x:c r="D17" s="21" t="n">
        <x:v>0.09317046534054291</x:v>
      </x:c>
      <x:c r="E17" s="3" t="n">
        <x:v>9</x:v>
      </x:c>
      <x:c r="F17" s="3" t="str">
        <x:v>Distinguishes participants by how broadly they describe the positive effects of their organization across life contexts, independent of the routines they maintain, how they react to clutter, or how they frame their motivation. Higher-scoring participants describe organization producing benefits across multiple distinct domains (work and school, work and home, or work and life in general), often with counterfactual or causal language ('achieve better grades than I would have if I was not organized'). Mid-range participants describe benefits confined to a single domain without qualification. Lower-scoring participants either explicitly minimize the scope of what they organize ('I don't have too many materials to keep track of, so my deskspace is usually very neat'), restrict the benefit to one setting while acknowledging the benefit does not extend elsewhere, or deny that organization has affected their outcomes ('This has never really effected me in school or work').</x:v>
      </x:c>
      <x:c r="G17" s="3" t="str">
        <x:v>How broadly does the participant describe the benefits of their organization across life domains, including any minimization, restriction, or denial of those benefits?</x:v>
      </x:c>
      <x:c r="H17" s="3" t="str">
        <x:v>2: Benefits claimed across multiple distinct life domains
1: Benefits claimed for a single domain without minimization
-1: Benefits minimized, restricted, or explicitly denied
0: Not applicable
0: Uncertain</x:v>
      </x:c>
      <x:c r="I17" s="23" t="n">
        <x:v>92</x:v>
      </x:c>
      <x:c r="J17" s="23" t="n">
        <x:v>83</x:v>
      </x:c>
      <x:c r="K17" s="23" t="n">
        <x:v>1</x:v>
      </x:c>
      <x:c r="L17" s="23" t="n">
        <x:v>7</x:v>
      </x:c>
      <x:c r="M17" s="23" t="n">
        <x:v>1</x:v>
      </x:c>
      <x:c r="N17" s="23" t="n">
        <x:v>83</x:v>
      </x:c>
      <x:c r="O17" s="23" t="n">
        <x:v>0</x:v>
      </x:c>
      <x:c r="P17" s="23" t="n">
        <x:v>370</x:v>
      </x:c>
      <x:c r="Q17" s="23" t="n">
        <x:v>300</x:v>
      </x:c>
      <x:c r="R17" s="23" t="n">
        <x:v>15</x:v>
      </x:c>
      <x:c r="S17" s="23" t="n">
        <x:v>53</x:v>
      </x:c>
      <x:c r="T17" s="23" t="n">
        <x:v>2</x:v>
      </x:c>
      <x:c r="U17" s="23" t="n">
        <x:v>300</x:v>
      </x:c>
      <x:c r="V17" s="23" t="n">
        <x:v>0</x:v>
      </x:c>
    </x:row>
    <x:row r="18" ht="201.75" customHeight="1">
      <x:c r="A18" s="8" t="str">
        <x:v>F2-09</x:v>
      </x:c>
      <x:c r="B18" s="8" t="str">
        <x:v>female</x:v>
      </x:c>
      <x:c r="C18" s="8" t="str">
        <x:v>Articulation of general organizing rules, maxims, or causal beliefs versus specific practices versus bare state description</x:v>
      </x:c>
      <x:c r="D18" s="20" t="n">
        <x:v>0.11999793923921181</x:v>
      </x:c>
      <x:c r="E18" s="8" t="n">
        <x:v>16</x:v>
      </x:c>
      <x:c r="F18" s="8" t="str">
        <x:v>Distinguishes participants by the level of generality at which they talk about organization, independent of how organized they claim to be, how strict their standards are, or how concrete their practices are. Higher-scoring conscientiousness interviews state at least one generalizable rule, maxim, or causal belief about order: prescriptive rules ('everything has a place and it should be in its place', 'if you don't have a place for something then you don't need that item'), if-then maxims addressed as general truths ('if you can set up a system, even a bit loose, your work will go more smoothly'), counterfactual claims about what disorganization would cost ('better grades than I would have if I was not organized and wasting precious time'), or general values and aversions ('I like things to be neat and tidy', 'I do not like being unorganised'). Mid-range interviews describe specific practices, tools, or personal systems (planners, Trello, colored binders, lists, desk arrangements) without stating any general rule or belief. Lower-scoring interviews describe only the current state of their space, a bare self-assessment, or their struggles, with neither a stated principle nor a described practice. This is distinct from the concreteness concept (specificity of practices) and the absolutism concept (strictness of standards): a participant can describe tools in detail while never articulating a principle, or state an absolute rule with no practices, and the presence of an articulated general principle tracks the currently underpredicted high-scoring interviews while practice-heavy and state-only accounts characterize the overpredicted mid and low bands.</x:v>
      </x:c>
      <x:c r="G18" s="8" t="str">
        <x:v>Does the participant state general rules, maxims, or causal beliefs about organization, describe specific practices or tools without such principles, or only describe the current state of their space, a self-assessment, or their struggles?</x:v>
      </x:c>
      <x:c r="H18" s="8" t="str">
        <x:v>3: General rule, maxim, or causal belief about organization
1: Specific practices, tools, or systems without general rules
-1: State, self-assessment, or struggle described without practices or rules
0: Uncertain</x:v>
      </x:c>
      <x:c r="I18" s="22" t="n">
        <x:v>92</x:v>
      </x:c>
      <x:c r="J18" s="22" t="n">
        <x:v>91</x:v>
      </x:c>
      <x:c r="K18" s="22" t="n">
        <x:v>0</x:v>
      </x:c>
      <x:c r="L18" s="22" t="n">
        <x:v>0</x:v>
      </x:c>
      <x:c r="M18" s="22" t="n">
        <x:v>1</x:v>
      </x:c>
      <x:c r="N18" s="22" t="n">
        <x:v>91</x:v>
      </x:c>
      <x:c r="O18" s="22" t="n">
        <x:v>0</x:v>
      </x:c>
      <x:c r="P18" s="22" t="n">
        <x:v>370</x:v>
      </x:c>
      <x:c r="Q18" s="22" t="n">
        <x:v>367</x:v>
      </x:c>
      <x:c r="R18" s="22" t="n">
        <x:v>0</x:v>
      </x:c>
      <x:c r="S18" s="22" t="n">
        <x:v>0</x:v>
      </x:c>
      <x:c r="T18" s="22" t="n">
        <x:v>3</x:v>
      </x:c>
      <x:c r="U18" s="22" t="n">
        <x:v>367</x:v>
      </x:c>
      <x:c r="V18" s="22" t="n">
        <x:v>0</x:v>
      </x:c>
    </x:row>
    <x:row r="19" ht="144.75" customHeight="1">
      <x:c r="A19" s="3" t="str">
        <x:v>F2-10</x:v>
      </x:c>
      <x:c r="B19" s="3" t="str">
        <x:v>female</x:v>
      </x:c>
      <x:c r="C19" s="3" t="str">
        <x:v>Graded condition of the personal or home life domain</x:v>
      </x:c>
      <x:c r="D19" s="21" t="n">
        <x:v>0.1820283389494953</x:v>
      </x:c>
      <x:c r="E19" s="3" t="n">
        <x:v>18</x:v>
      </x:c>
      <x:c r="F19" s="3" t="str">
        <x:v>Distinguishes participants by the described state of organization in their personal or home life, separate from work or school. Many interviews describe a split between an organized work self and a less organized home self, and existing concepts lump these participants together even though their outcomes differ substantially. The graded condition of the home side separates them: higher-scoring participants describe their personal life as organized and managed, or mention home mess only neutrally and indifferently. Progressively lower scores correspond to escalating home dysfunction: piles and putting off organizing, then embarrassment, avoidance, or difficulty being proactive, and finally a personal life described as collapsed, with trouble keeping up with basic upkeep. This is distinct from routine maintenance across domains (which rates the split itself, not the home condition), from severity of acknowledged shortcomings (which lumps all domain-level dysfunction together), and from disorder response (which captures reactions to clutter rather than the state of the personal domain).</x:v>
      </x:c>
      <x:c r="G19" s="3" t="str">
        <x:v>How does the participant describe the state of organization in their personal or home life?</x:v>
      </x:c>
      <x:c r="H19" s="3" t="str">
        <x:v>2: Personal or home life described as organized and managed
1: Home mess mentioned neutrally or with indifference
-1: Home disorganization with piles, putting off, or forgetting to tidy
-2: Home disorganization with embarrassment, avoidance, or difficulty being proactive
-3: Personal life described as collapsed or disastrous
0: Not applicable
0: Uncertain</x:v>
      </x:c>
      <x:c r="I19" s="23" t="n">
        <x:v>92</x:v>
      </x:c>
      <x:c r="J19" s="23" t="n">
        <x:v>41</x:v>
      </x:c>
      <x:c r="K19" s="23" t="n">
        <x:v>1</x:v>
      </x:c>
      <x:c r="L19" s="23" t="n">
        <x:v>50</x:v>
      </x:c>
      <x:c r="M19" s="23" t="n">
        <x:v>0</x:v>
      </x:c>
      <x:c r="N19" s="23" t="n">
        <x:v>41</x:v>
      </x:c>
      <x:c r="O19" s="23" t="n">
        <x:v>0</x:v>
      </x:c>
      <x:c r="P19" s="23" t="n">
        <x:v>370</x:v>
      </x:c>
      <x:c r="Q19" s="23" t="n">
        <x:v>137</x:v>
      </x:c>
      <x:c r="R19" s="23" t="n">
        <x:v>12</x:v>
      </x:c>
      <x:c r="S19" s="23" t="n">
        <x:v>220</x:v>
      </x:c>
      <x:c r="T19" s="23" t="n">
        <x:v>1</x:v>
      </x:c>
      <x:c r="U19" s="23" t="n">
        <x:v>137</x:v>
      </x:c>
      <x:c r="V19" s="23" t="n">
        <x:v>0</x:v>
      </x:c>
    </x:row>
    <x:row r="20" ht="187.5" customHeight="1">
      <x:c r="A20" s="8" t="str">
        <x:v>F2-11</x:v>
      </x:c>
      <x:c r="B20" s="8" t="str">
        <x:v>female</x:v>
      </x:c>
      <x:c r="C20" s="8" t="str">
        <x:v>Breadth of concurrent responsibilities described as successfully managed</x:v>
      </x:c>
      <x:c r="D20" s="20" t="n">
        <x:v>-0.14989751638510268</x:v>
      </x:c>
      <x:c r="E20" s="8" t="n">
        <x:v>19</x:v>
      </x:c>
      <x:c r="F20" s="8" t="str">
        <x:v>Distinguishes participants by the scope and load of obligations their organization is described as handling and whether they keep up with them, independent of routines maintained, tools named, standards stated, or the condition of their home domain. Higher-scoring interviews describe juggling multiple distinct concurrent streams of responsibility and staying on top of them: coordinating health screenings across seven schools against a fixed deadline while planning with others, maintaining binders spanning multiple organizations, projects, and colleagues, tracking deadlines, tasks, and progress across a full workload, or handling both work and personal matters. Mid-range interviews describe their organization as managing a single job's tasks or their own daily schedule, without multiple concurrent streams and without reported failure. Lower-scoring interviews describe even basic or single-domain responsibilities as overwhelming, unmet, or drawing criticism: chasing tasks, negative impact at work, constructive criticism for disorganization, or barely keeping on top of cooking, eating, cleaning, and bills. This separates interviews with nearly identical tool-use and concreteness ratings but different outcomes, such as a diary-and-to-do-list user managing only their own daily work tasks versus a binder and color-coding system spanning multiple organizations, projects, and people, or an organization claim tied to meeting set goals across a workload versus one tied to avoiding failure at basic daily tasks.</x:v>
      </x:c>
      <x:c r="G20" s="8" t="str">
        <x:v>How broad a set of concurrent responsibilities does the participant describe their organization as managing successfully?</x:v>
      </x:c>
      <x:c r="H20" s="8" t="str">
        <x:v>3: Multiple concurrent roles or streams of responsibility managed successfully
1: Single domain or modest set of own tasks managed
-2: Responsibilities described as unmet, overwhelming, or drawing criticism
0: Not applicable
0: Uncertain</x:v>
      </x:c>
      <x:c r="I20" s="22" t="n">
        <x:v>92</x:v>
      </x:c>
      <x:c r="J20" s="22" t="n">
        <x:v>79</x:v>
      </x:c>
      <x:c r="K20" s="22" t="n">
        <x:v>4</x:v>
      </x:c>
      <x:c r="L20" s="22" t="n">
        <x:v>9</x:v>
      </x:c>
      <x:c r="M20" s="22" t="n">
        <x:v>0</x:v>
      </x:c>
      <x:c r="N20" s="22" t="n">
        <x:v>79</x:v>
      </x:c>
      <x:c r="O20" s="22" t="n">
        <x:v>0</x:v>
      </x:c>
      <x:c r="P20" s="22" t="n">
        <x:v>370</x:v>
      </x:c>
      <x:c r="Q20" s="22" t="n">
        <x:v>308</x:v>
      </x:c>
      <x:c r="R20" s="22" t="n">
        <x:v>19</x:v>
      </x:c>
      <x:c r="S20" s="22" t="n">
        <x:v>42</x:v>
      </x:c>
      <x:c r="T20" s="22" t="n">
        <x:v>1</x:v>
      </x:c>
      <x:c r="U20" s="22" t="n">
        <x:v>308</x:v>
      </x:c>
      <x:c r="V20" s="22" t="n">
        <x:v>0</x:v>
      </x:c>
    </x:row>
    <x:row r="21" ht="187.5" customHeight="1">
      <x:c r="A21" s="3" t="str">
        <x:v>F2-12</x:v>
      </x:c>
      <x:c r="B21" s="3" t="str">
        <x:v>female</x:v>
      </x:c>
      <x:c r="C21" s="3" t="str">
        <x:v>Organization framed as regulation of one's own emotional or psychological state</x:v>
      </x:c>
      <x:c r="D21" s="21" t="n">
        <x:v>0.15059058080996965</x:v>
      </x:c>
      <x:c r="E21" s="3" t="n">
        <x:v>21</x:v>
      </x:c>
      <x:c r="F21" s="3" t="str">
        <x:v>Distinguishes participants by whether they present being organized as serving their own internal psychological state management, versus framing organization only around tasks, performance, efficiency, or describing it with no stated function at all. Higher-scoring conscientiousness interviews never claim emotional functions for organization: they justify it through deadlines, goals, efficiency, professionalism, or impression management, or simply describe practices and standards. Mid-scoring interviews explicitly attribute to organization a stress-, anxiety-, or mental-health-regulation function ('when I am organized I stress less and have less anxiety', 'keeping a clean organized home is very important to your mental health', 'it is very depressing and stressful to have mess') or tie their organizing to a psychological condition ('very OCD with all the work I do'). These participants are often rated highly on standards, absolutism, and identity concepts and are systematically overpredicted by them: their intense aversion to disorder coexists with only mid-range outcomes, while participants with equally strong standards but purely task- or efficiency-based framing score high. This is distinct from the disorder-response concept (behavioral reaction to accumulated clutter), from deficit-compensation framing (organization as a workaround for forgetfulness or ADHD rather than as emotional regulation), and from the emotional tone of the account (a participant can describe anxiety management calmly and matter-of-factly).</x:v>
      </x:c>
      <x:c r="G21" s="3" t="str">
        <x:v>Does the participant describe being organized as a way of managing their own stress, anxiety, or mental health, or is organization framed only around tasks, performance, efficiency, others, or given no emotional function?</x:v>
      </x:c>
      <x:c r="H21" s="3" t="str">
        <x:v>2: No emotional or psychological function of organization described
1: Passing internal-state reference
0: Uncertain
-1: Central emotional-regulation function</x:v>
      </x:c>
      <x:c r="I21" s="23" t="n">
        <x:v>92</x:v>
      </x:c>
      <x:c r="J21" s="23" t="n">
        <x:v>90</x:v>
      </x:c>
      <x:c r="K21" s="23" t="n">
        <x:v>0</x:v>
      </x:c>
      <x:c r="L21" s="23" t="n">
        <x:v>0</x:v>
      </x:c>
      <x:c r="M21" s="23" t="n">
        <x:v>2</x:v>
      </x:c>
      <x:c r="N21" s="23" t="n">
        <x:v>90</x:v>
      </x:c>
      <x:c r="O21" s="23" t="n">
        <x:v>0</x:v>
      </x:c>
      <x:c r="P21" s="23" t="n">
        <x:v>370</x:v>
      </x:c>
      <x:c r="Q21" s="23" t="n">
        <x:v>363</x:v>
      </x:c>
      <x:c r="R21" s="23" t="n">
        <x:v>0</x:v>
      </x:c>
      <x:c r="S21" s="23" t="n">
        <x:v>0</x:v>
      </x:c>
      <x:c r="T21" s="23" t="n">
        <x:v>7</x:v>
      </x:c>
      <x:c r="U21" s="23" t="n">
        <x:v>363</x:v>
      </x:c>
      <x:c r="V21" s="23" t="n">
        <x:v>0</x:v>
      </x:c>
    </x:row>
    <x:row r="22" ht="173.25" customHeight="1">
      <x:c r="A22" s="8" t="str">
        <x:v>F2-13</x:v>
      </x:c>
      <x:c r="B22" s="8" t="str">
        <x:v>female</x:v>
      </x:c>
      <x:c r="C22" s="8" t="str">
        <x:v>Externalized organizational systems versus memory-based organization within apparent disorder</x:v>
      </x:c>
      <x:c r="D22" s="20" t="n">
        <x:v>-0.05768431021216192</x:v>
      </x:c>
      <x:c r="E22" s="8" t="n">
        <x:v>24</x:v>
      </x:c>
      <x:c r="F22" s="8" t="str">
        <x:v>Distinguishes participants by the medium through which their organization operates: whether order is offloaded onto external artifacts and designated physical locations (binders, calendars, written schedules, filing by date, everything having a fixed place), or whether it lives in the participant's own memory and mental processes (knowing exactly where a paperclip is within a mess, a self-designed desk pile whose order only the participant understands, organizing via thought process and ad hoc recall). Higher-scoring conscientiousness interviews describe retrieval and order as properties of an external system: 'everything has a place', 'I keep colored binders for all the organizations I work with', 'I like to file things by date so I can remember' backed by accessible storage. Mid-scoring interviews describe some external aids but rely partly on personal recall. Lower-scoring interviews describe memory-based organization inside apparent disorder: 'I could tell you exactly where to find a paperclip within my mess', 'sorted in no real order but they are in order', where the system exists only in the participant's head and would not survive their absence. This is distinct from system legibility (whether others could follow it), concreteness (specificity of description), and routine maintenance (whether habits persist): a participant can describe a memory-based system in vivid concrete detail, and a legible place-based rule can be stated without any routine.</x:v>
      </x:c>
      <x:c r="G22" s="8" t="str">
        <x:v>Does the participant describe their organization as operating through external systems, places, or written artifacts, or through their own memory and mental retrieval within a personally ordered but externally disordered space?</x:v>
      </x:c>
      <x:c r="H22" s="8" t="str">
        <x:v>2: Externalized systems, places, or written artifacts carry the order
1: Mix of external aids and personal memory
-1: Memory-based order within apparent disorder
0: Not applicable
0: Uncertain</x:v>
      </x:c>
      <x:c r="I22" s="22" t="n">
        <x:v>92</x:v>
      </x:c>
      <x:c r="J22" s="22" t="n">
        <x:v>51</x:v>
      </x:c>
      <x:c r="K22" s="22" t="n">
        <x:v>9</x:v>
      </x:c>
      <x:c r="L22" s="22" t="n">
        <x:v>31</x:v>
      </x:c>
      <x:c r="M22" s="22" t="n">
        <x:v>1</x:v>
      </x:c>
      <x:c r="N22" s="22" t="n">
        <x:v>51</x:v>
      </x:c>
      <x:c r="O22" s="22" t="n">
        <x:v>0</x:v>
      </x:c>
      <x:c r="P22" s="22" t="n">
        <x:v>370</x:v>
      </x:c>
      <x:c r="Q22" s="22" t="n">
        <x:v>223</x:v>
      </x:c>
      <x:c r="R22" s="22" t="n">
        <x:v>28</x:v>
      </x:c>
      <x:c r="S22" s="22" t="n">
        <x:v>113</x:v>
      </x:c>
      <x:c r="T22" s="22" t="n">
        <x:v>6</x:v>
      </x:c>
      <x:c r="U22" s="22" t="n">
        <x:v>223</x:v>
      </x:c>
      <x:c r="V22" s="22" t="n">
        <x:v>0</x:v>
      </x:c>
    </x:row>
    <x:row r="23" ht="116.25" customHeight="1">
      <x:c r="A23" s="3" t="str">
        <x:v>F2-14</x:v>
      </x:c>
      <x:c r="B23" s="3" t="str">
        <x:v>female</x:v>
      </x:c>
      <x:c r="C23" s="3" t="str">
        <x:v>Referent of organizational value claims</x:v>
      </x:c>
      <x:c r="D23" s="21" t="n">
        <x:v>0.35052610383504956</x:v>
      </x:c>
      <x:c r="E23" s="3" t="n">
        <x:v>25</x:v>
      </x:c>
      <x:c r="F23" s="3" t="str">
        <x:v>Distinguishes interviews by the referent the participant uses when talking about the value of organization or how organized they are: whether organization is presented as universally necessary or beneficial for people in general (blanket value claims, universal prescriptions, or unqualified generic maxims), whether all claims are strictly self-referenced with no mention of other people, or whether the participant explicitly relativizes organizational needs across individuals or benchmarks their own organization against other people or an external scale. An interview can state a maxim and then exempt others from it, or assert being organized while ranking that claim against 'most people' rather than any absolute standard, in which case the comparative framing applies. Within-self domain comparisons (e.g., work versus home) do not count as comparative framing.</x:v>
      </x:c>
      <x:c r="G23" s="3" t="str">
        <x:v>When the participant talks about the value of organization or how organized they are, do they present it as applying to people in general, keep all claims strictly about themselves, or explicitly compare or relativize it across people?</x:v>
      </x:c>
      <x:c r="H23" s="3" t="str">
        <x:v>2: Universal necessity or benefit asserted
1: Claims strictly self-referenced without reference to other people
-1: Organizational value or standing comparatively benchmarked or relativized across people
0: Uncertain</x:v>
      </x:c>
      <x:c r="I23" s="23" t="n">
        <x:v>92</x:v>
      </x:c>
      <x:c r="J23" s="23" t="n">
        <x:v>88</x:v>
      </x:c>
      <x:c r="K23" s="23" t="n">
        <x:v>1</x:v>
      </x:c>
      <x:c r="L23" s="23" t="n">
        <x:v>0</x:v>
      </x:c>
      <x:c r="M23" s="23" t="n">
        <x:v>3</x:v>
      </x:c>
      <x:c r="N23" s="23" t="n">
        <x:v>88</x:v>
      </x:c>
      <x:c r="O23" s="23" t="n">
        <x:v>0</x:v>
      </x:c>
      <x:c r="P23" s="23" t="n">
        <x:v>370</x:v>
      </x:c>
      <x:c r="Q23" s="23" t="n">
        <x:v>358</x:v>
      </x:c>
      <x:c r="R23" s="23" t="n">
        <x:v>10</x:v>
      </x:c>
      <x:c r="S23" s="23" t="n">
        <x:v>0</x:v>
      </x:c>
      <x:c r="T23" s="23" t="n">
        <x:v>2</x:v>
      </x:c>
      <x:c r="U23" s="23" t="n">
        <x:v>358</x:v>
      </x:c>
      <x:c r="V23" s="23" t="n">
        <x:v>0</x:v>
      </x:c>
    </x:row>
    <x:row r="24" ht="201.75" customHeight="1">
      <x:c r="A24" s="8" t="str">
        <x:v>F2-15</x:v>
      </x:c>
      <x:c r="B24" s="8" t="str">
        <x:v>female</x:v>
      </x:c>
      <x:c r="C24" s="8" t="str">
        <x:v>Third-party recognition versus sanction of the participant's organization</x:v>
      </x:c>
      <x:c r="D24" s="20" t="n">
        <x:v>0.2724289645551719</x:v>
      </x:c>
      <x:c r="E24" s="8" t="n">
        <x:v>26</x:v>
      </x:c>
      <x:c r="F24" s="8" t="str">
        <x:v>Distinguishes participants by whether others' reactions to their organization or disorganization appear in the account, independent of how organized the participant claims to be, what routines they maintain, or how they frame their motivation. Higher-outcome interviews report external validation of their organization: family members or colleagues noticing and commenting on it, being recognized as the most organized person in the family, or institutional evaluations succeeding because of their organization (successful annual audit ratings). Lower-outcome interviews report external sanction: being coached or made to redo work, getting in trouble at work, or otherwise suffering consequences imposed by others because of disorganization. Most interviews mention no third-party reaction at all and are rated Not applicable, not low. This is distinct from self-reported performance effects (which rate the participant's own claims about productivity or grades, not others' reactions), from breadth of managed responsibilities (which rates workload scope, with criticism appearing only as one marker of unmet duties), from impression-management motivation (anticipating how one wants to be perceived, with no actual reported feedback), and from the referent of value claims (who organizational value applies to, not how others respond to the participant). It separates mispredicted interviews such as the participant whose family noticed and commented on her organization (high outcome, underpredicted) from the participant who was coached to redo a lost-notebook project (low outcome, overpredicted despite strong identity and standards ratings).</x:v>
      </x:c>
      <x:c r="G24" s="8" t="str">
        <x:v>What kind of third-party reaction to the participant's organization or disorganization, if any, is reported in the interview?</x:v>
      </x:c>
      <x:c r="H24" s="8" t="str">
        <x:v>2: External recognition or successful external evaluation
-2: External criticism or negative consequences from others
0: Not applicable
0: Uncertain</x:v>
      </x:c>
      <x:c r="I24" s="22" t="n">
        <x:v>92</x:v>
      </x:c>
      <x:c r="J24" s="22" t="n">
        <x:v>9</x:v>
      </x:c>
      <x:c r="K24" s="22" t="n">
        <x:v>1</x:v>
      </x:c>
      <x:c r="L24" s="22" t="n">
        <x:v>82</x:v>
      </x:c>
      <x:c r="M24" s="22" t="n">
        <x:v>0</x:v>
      </x:c>
      <x:c r="N24" s="22" t="n">
        <x:v>9</x:v>
      </x:c>
      <x:c r="O24" s="22" t="n">
        <x:v>0</x:v>
      </x:c>
      <x:c r="P24" s="22" t="n">
        <x:v>370</x:v>
      </x:c>
      <x:c r="Q24" s="22" t="n">
        <x:v>27</x:v>
      </x:c>
      <x:c r="R24" s="22" t="n">
        <x:v>10</x:v>
      </x:c>
      <x:c r="S24" s="22" t="n">
        <x:v>332</x:v>
      </x:c>
      <x:c r="T24" s="22" t="n">
        <x:v>1</x:v>
      </x:c>
      <x:c r="U24" s="22" t="n">
        <x:v>27</x:v>
      </x:c>
      <x:c r="V24" s="22" t="n">
        <x:v>0</x:v>
      </x:c>
    </x:row>
    <x:row r="25" ht="187.5" customHeight="1">
      <x:c r="A25" s="3" t="str">
        <x:v>F2-16</x:v>
      </x:c>
      <x:c r="B25" s="3" t="str">
        <x:v>female</x:v>
      </x:c>
      <x:c r="C25" s="3" t="str">
        <x:v>Temporal orientation of organization (anticipatory vs. present-moment vs. reactive)</x:v>
      </x:c>
      <x:c r="D25" s="21" t="n">
        <x:v>-0.14803239679263075</x:v>
      </x:c>
      <x:c r="E25" s="3" t="n">
        <x:v>28</x:v>
      </x:c>
      <x:c r="F25" s="3" t="str">
        <x:v>Distinguishes participants by the temporal direction of their organization: whether they describe preparing in advance for what is coming next (having tools ready before starting work, making tomorrow's list tonight, resetting the workspace at the end of a shift so it is ready for the next day, tracking upcoming deadlines, setting up systems so future work goes smoothly), versus organizing only the current task or current state of their space with no described forward setup, versus organization that erodes over the course of longer tasks into deadline-driven rushing, versus organizing only in reaction to immediate triggers (cleaning when guests are coming, dealing with things only when they become urgent). Higher-scoring conscientiousness interviews consistently show future-facing readiness behavior ('prepare to succeed or prepare to fail', 'lists at night for the next day', 'tidy up my desk after my shift so it is ready for the next day', 'always have the tools prepared'), while the lowest-scoring interviews describe either a static present state (a neat desk because there is little to manage) or purely triggered cleanup. This is distinct from proactive task management (sequencing and prioritizing current work), from routine maintenance (whether habits persist across domains), from temporal cycles (how often organizing recurs rather than whether it is aimed at upcoming demands), and from review and monitoring (checking tracked items rather than readying oneself or one's environment for the future).</x:v>
      </x:c>
      <x:c r="G25" s="3" t="str">
        <x:v>How does the participant describe the temporal orientation of their organization of tasks, time, or workspace?</x:v>
      </x:c>
      <x:c r="H25" s="3" t="str">
        <x:v>2: Advance preparation or readiness for upcoming demands described
1: Present-moment organization only
-1: Initial organization that lapses into deadline-driven work
-2: Organization only in reaction to immediate triggers
0: Not applicable
0: Uncertain</x:v>
      </x:c>
      <x:c r="I25" s="23" t="n">
        <x:v>92</x:v>
      </x:c>
      <x:c r="J25" s="23" t="n">
        <x:v>67</x:v>
      </x:c>
      <x:c r="K25" s="23" t="n">
        <x:v>10</x:v>
      </x:c>
      <x:c r="L25" s="23" t="n">
        <x:v>12</x:v>
      </x:c>
      <x:c r="M25" s="23" t="n">
        <x:v>3</x:v>
      </x:c>
      <x:c r="N25" s="23" t="n">
        <x:v>67</x:v>
      </x:c>
      <x:c r="O25" s="23" t="n">
        <x:v>0</x:v>
      </x:c>
      <x:c r="P25" s="23" t="n">
        <x:v>370</x:v>
      </x:c>
      <x:c r="Q25" s="23" t="n">
        <x:v>260</x:v>
      </x:c>
      <x:c r="R25" s="23" t="n">
        <x:v>28</x:v>
      </x:c>
      <x:c r="S25" s="23" t="n">
        <x:v>82</x:v>
      </x:c>
      <x:c r="T25" s="23" t="n">
        <x:v>0</x:v>
      </x:c>
      <x:c r="U25" s="23" t="n">
        <x:v>260</x:v>
      </x:c>
      <x:c r="V25" s="23" t="n">
        <x:v>0</x:v>
      </x:c>
    </x:row>
    <x:row r="26" ht="102" customHeight="1">
      <x:c r="A26" s="8" t="str">
        <x:v>M2-01</x:v>
      </x:c>
      <x:c r="B26" s="8" t="str">
        <x:v>male</x:v>
      </x:c>
      <x:c r="C26" s="8" t="str">
        <x:v>Concrete organizational systems and routines described</x:v>
      </x:c>
      <x:c r="D26" s="20" t="n">
        <x:v>0.17254845077413944</x:v>
      </x:c>
      <x:c r="E26" s="8" t="n">
        <x:v>1</x:v>
      </x:c>
      <x:c r="F26" s="8" t="str">
        <x:v>Interviews with higher conscientiousness scores tend to describe specific, concrete organizational systems, tools, or routines they actively maintain (e.g., planners, spreadsheets, calendars, labeled storage, staged workspaces, fixed daily routines), often applied across multiple life domains and sometimes accompanied by strong emotional investment in maintaining order. Interviews with lower scores describe organization in vague or aspirational terms, note inconsistent or domain-specific order that they struggle to maintain, or report recurring misplacement of items and needing extra time to find things.</x:v>
      </x:c>
      <x:c r="G26" s="8" t="str">
        <x:v>To what extent does the participant describe concrete organizational systems, tools, or routines that they actively maintain?</x:v>
      </x:c>
      <x:c r="H26" s="8" t="str">
        <x:v>-2: Recurring disorganization with misplacement
-1: Ad-hoc or intent-only organization
1: Partial or domain-specific system
2: Consistent system across domains
3: Rigid multi-domain system with emotional investment
0: Uncertain</x:v>
      </x:c>
      <x:c r="I26" s="22" t="n">
        <x:v>86</x:v>
      </x:c>
      <x:c r="J26" s="22" t="n">
        <x:v>78</x:v>
      </x:c>
      <x:c r="K26" s="22" t="n">
        <x:v>8</x:v>
      </x:c>
      <x:c r="L26" s="22" t="n">
        <x:v>0</x:v>
      </x:c>
      <x:c r="M26" s="22" t="n">
        <x:v>0</x:v>
      </x:c>
      <x:c r="N26" s="22" t="n">
        <x:v>78</x:v>
      </x:c>
      <x:c r="O26" s="22" t="n">
        <x:v>0</x:v>
      </x:c>
      <x:c r="P26" s="22" t="n">
        <x:v>345</x:v>
      </x:c>
      <x:c r="Q26" s="22" t="n">
        <x:v>312</x:v>
      </x:c>
      <x:c r="R26" s="22" t="n">
        <x:v>33</x:v>
      </x:c>
      <x:c r="S26" s="22" t="n">
        <x:v>0</x:v>
      </x:c>
      <x:c r="T26" s="22" t="n">
        <x:v>0</x:v>
      </x:c>
      <x:c r="U26" s="22" t="n">
        <x:v>312</x:v>
      </x:c>
      <x:c r="V26" s="22" t="n">
        <x:v>0</x:v>
      </x:c>
    </x:row>
    <x:row r="27" ht="102" customHeight="1">
      <x:c r="A27" s="3" t="str">
        <x:v>M2-02</x:v>
      </x:c>
      <x:c r="B27" s="3" t="str">
        <x:v>male</x:v>
      </x:c>
      <x:c r="C27" s="3" t="str">
        <x:v>Proactive task preparation and deadline lead-time</x:v>
      </x:c>
      <x:c r="D27" s="21" t="n">
        <x:v>-0.15222008875727938</x:v>
      </x:c>
      <x:c r="E27" s="3" t="n">
        <x:v>2</x:v>
      </x:c>
      <x:c r="F27" s="3" t="str">
        <x:v>Participants with higher conscientiousness scores often describe planning how they will approach tasks before beginning them, gathering materials and knowledge in advance, and habitually completing work ahead of deadlines. Participants with lower scores describe last-minute work styles, rushing to finish assignments right before they are due, or needing extra time because of unpreparedness. This concept captures the temporal dimension of task management (planning ahead vs. working at the deadline) rather than physical organization systems or tidiness.</x:v>
      </x:c>
      <x:c r="G27" s="3" t="str">
        <x:v>To what extent does the participant describe planning or preparing tasks in advance and completing work ahead of deadlines, versus working last-minute or rushing?</x:v>
      </x:c>
      <x:c r="H27" s="3" t="str">
        <x:v>-2: Habitual last-minute completion
-1: Occasional rushed or delayed work
1: Situational advance planning
2: Routinely plans ahead and finishes early
0: Uncertain
0: Not applicable</x:v>
      </x:c>
      <x:c r="I27" s="23" t="n">
        <x:v>86</x:v>
      </x:c>
      <x:c r="J27" s="23" t="n">
        <x:v>22</x:v>
      </x:c>
      <x:c r="K27" s="23" t="n">
        <x:v>11</x:v>
      </x:c>
      <x:c r="L27" s="23" t="n">
        <x:v>53</x:v>
      </x:c>
      <x:c r="M27" s="23" t="n">
        <x:v>0</x:v>
      </x:c>
      <x:c r="N27" s="23" t="n">
        <x:v>22</x:v>
      </x:c>
      <x:c r="O27" s="23" t="n">
        <x:v>0</x:v>
      </x:c>
      <x:c r="P27" s="23" t="n">
        <x:v>345</x:v>
      </x:c>
      <x:c r="Q27" s="23" t="n">
        <x:v>67</x:v>
      </x:c>
      <x:c r="R27" s="23" t="n">
        <x:v>66</x:v>
      </x:c>
      <x:c r="S27" s="23" t="n">
        <x:v>212</x:v>
      </x:c>
      <x:c r="T27" s="23" t="n">
        <x:v>0</x:v>
      </x:c>
      <x:c r="U27" s="23" t="n">
        <x:v>67</x:v>
      </x:c>
      <x:c r="V27" s="23" t="n">
        <x:v>0</x:v>
      </x:c>
    </x:row>
    <x:row r="28" ht="116.25" customHeight="1">
      <x:c r="A28" s="8" t="str">
        <x:v>M2-03</x:v>
      </x:c>
      <x:c r="B28" s="8" t="str">
        <x:v>male</x:v>
      </x:c>
      <x:c r="C28" s="8" t="str">
        <x:v>Confidence and external validation in self-described organization</x:v>
      </x:c>
      <x:c r="D28" s="20" t="n">
        <x:v>0.0738951868964817</x:v>
      </x:c>
      <x:c r="E28" s="8" t="n">
        <x:v>3</x:v>
      </x:c>
      <x:c r="F28" s="8" t="str">
        <x:v>Participants with higher conscientiousness scores tend to describe their organization in unqualified, confident terms and often cite external validation or social enforcement: others praising or relying on their orderliness, being recognized at work as exceptionally organized, leading or supervising others' organization, or demanding orderliness from those around them. Participants with lower scores tend to hedge or qualify their self-descriptions ('perhaps', 'somewhat', 'fairly', 'I don't always live up to'), openly admit gaps between their standards and their behavior, or frame their order as idiosyncratic chaos that only they can navigate. This concept captures the self-presentation and social-visibility dimension of organization, which is distinct from the concrete systems maintained or the deadline pacing captured by existing concepts.</x:v>
      </x:c>
      <x:c r="G28" s="8" t="str">
        <x:v>How does the participant present their own organization in terms of confidence, including any external recognition of it or enforcement of order on others?</x:v>
      </x:c>
      <x:c r="H28" s="8" t="str">
        <x:v>-2: Hedged or self-critical self-description
-1: Neutral description without external reference
0: Uncertain
0: Not applicable
1: Unqualified confident self-assessment
2: Confident self-assessment with external recognition or enforcement on others</x:v>
      </x:c>
      <x:c r="I28" s="22" t="n">
        <x:v>86</x:v>
      </x:c>
      <x:c r="J28" s="22" t="n">
        <x:v>85</x:v>
      </x:c>
      <x:c r="K28" s="22" t="n">
        <x:v>0</x:v>
      </x:c>
      <x:c r="L28" s="22" t="n">
        <x:v>1</x:v>
      </x:c>
      <x:c r="M28" s="22" t="n">
        <x:v>0</x:v>
      </x:c>
      <x:c r="N28" s="22" t="n">
        <x:v>85</x:v>
      </x:c>
      <x:c r="O28" s="22" t="n">
        <x:v>0</x:v>
      </x:c>
      <x:c r="P28" s="22" t="n">
        <x:v>345</x:v>
      </x:c>
      <x:c r="Q28" s="22" t="n">
        <x:v>335</x:v>
      </x:c>
      <x:c r="R28" s="22" t="n">
        <x:v>5</x:v>
      </x:c>
      <x:c r="S28" s="22" t="n">
        <x:v>3</x:v>
      </x:c>
      <x:c r="T28" s="22" t="n">
        <x:v>2</x:v>
      </x:c>
      <x:c r="U28" s="22" t="n">
        <x:v>335</x:v>
      </x:c>
      <x:c r="V28" s="22" t="n">
        <x:v>0</x:v>
      </x:c>
    </x:row>
    <x:row r="29" ht="144.75" customHeight="1">
      <x:c r="A29" s="3" t="str">
        <x:v>M2-04</x:v>
      </x:c>
      <x:c r="B29" s="3" t="str">
        <x:v>male</x:v>
      </x:c>
      <x:c r="C29" s="3" t="str">
        <x:v>Temporal stability versus improvement narrative in organization self-description</x:v>
      </x:c>
      <x:c r="D29" s="21" t="n">
        <x:v>0.13407173640634393</x:v>
      </x:c>
      <x:c r="E29" s="3" t="n">
        <x:v>5</x:v>
      </x:c>
      <x:c r="F29" s="3" t="str">
        <x:v>Interviews with higher conscientiousness scores tend to present their organization as an enduring, self-attributed disposition ('I am a very organized person', 'I always have my things in its place') or as current habitual practice described without any temporal or causal framing. Interviews with lower scores, even when they currently maintain concrete systems, tend to frame their organization through a temporal or external lens: recounting past disorganization, lateness, or academic failure that they later corrected through deliberate effort, or attributing their orderliness to outside forces such as an upbringing shaped by another person's compulsive tidiness or job demands rather than to their own stable disposition. This concept captures the trajectory and causal framing of the organization narrative, which is distinct from the concrete systems maintained, deadline pacing, self-presentation confidence, or specificity of description captured by existing concepts. It helps explain cases where a participant describes detailed current routines yet reports a relatively low conscientiousness score because the narrative centers on overcoming earlier disorganization.</x:v>
      </x:c>
      <x:c r="G29" s="3" t="str">
        <x:v>How does the participant frame their organization over time: as an enduring self-attributed disposition, as current habits without temporal framing, or through past disorganization, improvement, or external origins?</x:v>
      </x:c>
      <x:c r="H29" s="3" t="str">
        <x:v>-2: Past disorganization with improvement narrative
-1: External origin or necessity attribution
0: Uncertain
1: Current habits without temporal framing
2: Enduring self-attributed disposition</x:v>
      </x:c>
      <x:c r="I29" s="23" t="n">
        <x:v>86</x:v>
      </x:c>
      <x:c r="J29" s="23" t="n">
        <x:v>81</x:v>
      </x:c>
      <x:c r="K29" s="23" t="n">
        <x:v>5</x:v>
      </x:c>
      <x:c r="L29" s="23" t="n">
        <x:v>0</x:v>
      </x:c>
      <x:c r="M29" s="23" t="n">
        <x:v>0</x:v>
      </x:c>
      <x:c r="N29" s="23" t="n">
        <x:v>81</x:v>
      </x:c>
      <x:c r="O29" s="23" t="n">
        <x:v>0</x:v>
      </x:c>
      <x:c r="P29" s="23" t="n">
        <x:v>345</x:v>
      </x:c>
      <x:c r="Q29" s="23" t="n">
        <x:v>316</x:v>
      </x:c>
      <x:c r="R29" s="23" t="n">
        <x:v>27</x:v>
      </x:c>
      <x:c r="S29" s="23" t="n">
        <x:v>0</x:v>
      </x:c>
      <x:c r="T29" s="23" t="n">
        <x:v>2</x:v>
      </x:c>
      <x:c r="U29" s="23" t="n">
        <x:v>316</x:v>
      </x:c>
      <x:c r="V29" s="23" t="n">
        <x:v>0</x:v>
      </x:c>
    </x:row>
    <x:row r="30" ht="144.75" customHeight="1">
      <x:c r="A30" s="8" t="str">
        <x:v>M2-05</x:v>
      </x:c>
      <x:c r="B30" s="8" t="str">
        <x:v>male</x:v>
      </x:c>
      <x:c r="C30" s="8" t="str">
        <x:v>Handling of organizational lapses: prevention, recovery, or unresolved struggle</x:v>
      </x:c>
      <x:c r="D30" s="20" t="n">
        <x:v>0.06445292120156827</x:v>
      </x:c>
      <x:c r="E30" s="8" t="n">
        <x:v>6</x:v>
      </x:c>
      <x:c r="F30" s="8" t="str">
        <x:v>This concept captures how participants deal with organizational failures when they occur, which is distinct from the systems they maintain, their deadline pacing, their self-presentation confidence, or the temporal framing of their narrative. Participants with higher conscientiousness scores tend to describe either preventive control (organizing so that problems do not arise, knowing where things are, keeping on top of everything, preparing in advance) or, when a lapse is described, an active recovery: taking responsibility, investing effort or time to fix the problem, absorbing the cost themselves, or building in buffers that let them catch up. Participants with lower scores describe organizational failures that remain unresolved despite repeated attempts to improve, or lapses that simply cause lingering annoyance, embarrassment, or shame, or that are tolerated by others (e.g., an employer being 'OK with' forgotten items). This distinction helps explain cases where a participant admits a costly mistake yet still reports a relatively high conscientiousness score because the narrative centers on self-correction and accountability.</x:v>
      </x:c>
      <x:c r="G30" s="8" t="str">
        <x:v>How does the participant deal with organizational failures, near-failures, or the risk of them: ongoing unresolved struggle, lingering distress or reliance on others' tolerance, active recovery and self-correction, or preventive control that keeps lapses from happening?</x:v>
      </x:c>
      <x:c r="H30" s="8" t="str">
        <x:v>-2: Unresolved struggle despite repeated efforts
-1: Lapse with lingering distress or external tolerance
1: Acknowledged lapse with active recovery
2: Preventive control precluding lapses
0: Uncertain
0: Not applicable</x:v>
      </x:c>
      <x:c r="I30" s="22" t="n">
        <x:v>86</x:v>
      </x:c>
      <x:c r="J30" s="22" t="n">
        <x:v>77</x:v>
      </x:c>
      <x:c r="K30" s="22" t="n">
        <x:v>3</x:v>
      </x:c>
      <x:c r="L30" s="22" t="n">
        <x:v>6</x:v>
      </x:c>
      <x:c r="M30" s="22" t="n">
        <x:v>0</x:v>
      </x:c>
      <x:c r="N30" s="22" t="n">
        <x:v>77</x:v>
      </x:c>
      <x:c r="O30" s="22" t="n">
        <x:v>0</x:v>
      </x:c>
      <x:c r="P30" s="22" t="n">
        <x:v>345</x:v>
      </x:c>
      <x:c r="Q30" s="22" t="n">
        <x:v>307</x:v>
      </x:c>
      <x:c r="R30" s="22" t="n">
        <x:v>18</x:v>
      </x:c>
      <x:c r="S30" s="22" t="n">
        <x:v>19</x:v>
      </x:c>
      <x:c r="T30" s="22" t="n">
        <x:v>1</x:v>
      </x:c>
      <x:c r="U30" s="22" t="n">
        <x:v>307</x:v>
      </x:c>
      <x:c r="V30" s="22" t="n">
        <x:v>0</x:v>
      </x:c>
    </x:row>
    <x:row r="31" ht="144.75" customHeight="1">
      <x:c r="A31" s="3" t="str">
        <x:v>M2-06</x:v>
      </x:c>
      <x:c r="B31" s="3" t="str">
        <x:v>male</x:v>
      </x:c>
      <x:c r="C31" s="3" t="str">
        <x:v>Dynamic task management versus static organization</x:v>
      </x:c>
      <x:c r="D31" s="21" t="n">
        <x:v>0.20016045840729174</x:v>
      </x:c>
      <x:c r="E31" s="3" t="n">
        <x:v>7</x:v>
      </x:c>
      <x:c r="F31" s="3" t="str">
        <x:v>Participants with higher conscientiousness scores tend to describe organization as an active, ongoing management process: sequencing tasks by importance, urgency, or time-sensitivity, having a 'game plan' for how to approach work, continuously monitoring status ('keeping on top of every piece of data', a to-do list that is 'constantly on'), or tracking team progress toward daily targets. Participants with lower scores, even when they describe concrete organizational systems, tend to frame organization as static storage and placement: putting paperwork in a binder, filing emails into folders, keeping a clean desk, arranging a table, or writing notes for later revision, without describing how they sequence, monitor, or stay on top of tasks. This dynamic-versus-static dimension is distinct from whether systems exist (captured by existing concepts), from deadline pacing, and from narrative framing, and helps explain cases where a participant describes maintained filing systems yet reports a relatively low score because the organization is described as passive containment rather than active management.</x:v>
      </x:c>
      <x:c r="G31" s="3" t="str">
        <x:v>Does the participant describe actively prioritizing, sequencing, or continuously monitoring tasks and information, versus organizing mainly by storing, filing, or arranging things in places?</x:v>
      </x:c>
      <x:c r="H31" s="3" t="str">
        <x:v>-2: Static storage or placement only
-1: Task list without prioritization
1: Prioritization by importance or urgency
2: Continuous monitoring and staying on top
0: Uncertain
0: Not applicable</x:v>
      </x:c>
      <x:c r="I31" s="23" t="n">
        <x:v>86</x:v>
      </x:c>
      <x:c r="J31" s="23" t="n">
        <x:v>65</x:v>
      </x:c>
      <x:c r="K31" s="23" t="n">
        <x:v>14</x:v>
      </x:c>
      <x:c r="L31" s="23" t="n">
        <x:v>7</x:v>
      </x:c>
      <x:c r="M31" s="23" t="n">
        <x:v>0</x:v>
      </x:c>
      <x:c r="N31" s="23" t="n">
        <x:v>65</x:v>
      </x:c>
      <x:c r="O31" s="23" t="n">
        <x:v>0</x:v>
      </x:c>
      <x:c r="P31" s="23" t="n">
        <x:v>345</x:v>
      </x:c>
      <x:c r="Q31" s="23" t="n">
        <x:v>231</x:v>
      </x:c>
      <x:c r="R31" s="23" t="n">
        <x:v>54</x:v>
      </x:c>
      <x:c r="S31" s="23" t="n">
        <x:v>56</x:v>
      </x:c>
      <x:c r="T31" s="23" t="n">
        <x:v>4</x:v>
      </x:c>
      <x:c r="U31" s="23" t="n">
        <x:v>231</x:v>
      </x:c>
      <x:c r="V31" s="23" t="n">
        <x:v>0</x:v>
      </x:c>
    </x:row>
    <x:row r="32" ht="173.25" customHeight="1">
      <x:c r="A32" s="8" t="str">
        <x:v>M2-07</x:v>
      </x:c>
      <x:c r="B32" s="8" t="str">
        <x:v>male</x:v>
      </x:c>
      <x:c r="C32" s="8" t="str">
        <x:v>Nature of consequences attributed to organization</x:v>
      </x:c>
      <x:c r="D32" s="20" t="n">
        <x:v>0.045820386936753804</x:v>
      </x:c>
      <x:c r="E32" s="8" t="n">
        <x:v>8</x:v>
      </x:c>
      <x:c r="F32" s="8" t="str">
        <x:v>Participants with higher conscientiousness scores tend to describe their organization as producing internal psychological states or as a precondition for their functioning: calm, a relaxed demeanor, confidence, reduced stress, or an explicit inability to function or work unless organized. Participants in the middle range describe concrete but purely instrumental, task-level benefits: finishing work sooner, saving time, finding things quickly, avoiding errors, losses, or wasted time. Participants with lower scores tend to frame the payoff of their organization in external, comparative, or socially mediated terms, such as being admired or respected by others, receiving recommendations, promotions, praise, or good grades, or being more professional than other people, or they describe their organization without attributing any consequence to it at all. This concept captures the type of consequence the participant claims organization has for them, which is distinct from the concrete systems maintained, deadline pacing, self-presentational confidence, lapse handling, and dynamic-versus-static task management captured by existing concepts, and helps explain cases where participants with similar described systems receive different scores because of how central organization is to their psychological functioning versus merely a source of external reward or mild practical gain.</x:v>
      </x:c>
      <x:c r="G32" s="8" t="str">
        <x:v>What kind of benefit or consequence does the participant say their organization produces for them?</x:v>
      </x:c>
      <x:c r="H32" s="8" t="str">
        <x:v>-2: No stated benefits
-1: External or comparative benefits only
0: Uncertain
0: Not applicable
1: Functional efficiency benefits
2: Psychological wellbeing benefits
3: Organization as precondition for functioning</x:v>
      </x:c>
      <x:c r="I32" s="22" t="n">
        <x:v>86</x:v>
      </x:c>
      <x:c r="J32" s="22" t="n">
        <x:v>82</x:v>
      </x:c>
      <x:c r="K32" s="22" t="n">
        <x:v>2</x:v>
      </x:c>
      <x:c r="L32" s="22" t="n">
        <x:v>1</x:v>
      </x:c>
      <x:c r="M32" s="22" t="n">
        <x:v>1</x:v>
      </x:c>
      <x:c r="N32" s="22" t="n">
        <x:v>82</x:v>
      </x:c>
      <x:c r="O32" s="22" t="n">
        <x:v>0</x:v>
      </x:c>
      <x:c r="P32" s="22" t="n">
        <x:v>345</x:v>
      </x:c>
      <x:c r="Q32" s="22" t="n">
        <x:v>326</x:v>
      </x:c>
      <x:c r="R32" s="22" t="n">
        <x:v>17</x:v>
      </x:c>
      <x:c r="S32" s="22" t="n">
        <x:v>2</x:v>
      </x:c>
      <x:c r="T32" s="22" t="n">
        <x:v>0</x:v>
      </x:c>
      <x:c r="U32" s="22" t="n">
        <x:v>326</x:v>
      </x:c>
      <x:c r="V32" s="22" t="n">
        <x:v>0</x:v>
      </x:c>
    </x:row>
    <x:row r="33" ht="116.25" customHeight="1">
      <x:c r="A33" s="3" t="str">
        <x:v>M2-08</x:v>
      </x:c>
      <x:c r="B33" s="3" t="str">
        <x:v>male</x:v>
      </x:c>
      <x:c r="C33" s="3" t="str">
        <x:v>Rule- or maxim-based framing of organization</x:v>
      </x:c>
      <x:c r="D33" s="21" t="n">
        <x:v>0.20318427789944102</x:v>
      </x:c>
      <x:c r="E33" s="3" t="n">
        <x:v>10</x:v>
      </x:c>
      <x:c r="F33" s="3" t="str">
        <x:v>The level of generality and prescriptiveness in how a participant verbally frames their own organization. At one end, order is framed as conditional and exception-laden, using deferral, frequency qualifiers, or trigger thresholds in the present tense. In the middle, organization is described only as situated practices, tools, or methods without elevating them to rules or values. At the other end, order is framed through governing rules, maxims, or value commitments, either scoped to the participant's own life or generalized as universal, normative claims. This concept is about how order is verbally framed, not about whether concrete systems are actually maintained, deadline pacing, self-presentation confidence, temporal or causal narrative, lapse handling, dynamic versus static management, or consequences attributed to organization.</x:v>
      </x:c>
      <x:c r="G33" s="3" t="str">
        <x:v>How does the participant verbally frame their organization?</x:v>
      </x:c>
      <x:c r="H33" s="3" t="str">
        <x:v>-2: Exception-framed or conditional organization
-1: Situated practices without rule framing
0: Uncertain
0: Not applicable
1: Personal rule or value commitment
2: Universal maxim or normative claim</x:v>
      </x:c>
      <x:c r="I33" s="23" t="n">
        <x:v>86</x:v>
      </x:c>
      <x:c r="J33" s="23" t="n">
        <x:v>75</x:v>
      </x:c>
      <x:c r="K33" s="23" t="n">
        <x:v>9</x:v>
      </x:c>
      <x:c r="L33" s="23" t="n">
        <x:v>2</x:v>
      </x:c>
      <x:c r="M33" s="23" t="n">
        <x:v>0</x:v>
      </x:c>
      <x:c r="N33" s="23" t="n">
        <x:v>75</x:v>
      </x:c>
      <x:c r="O33" s="23" t="n">
        <x:v>0</x:v>
      </x:c>
      <x:c r="P33" s="23" t="n">
        <x:v>345</x:v>
      </x:c>
      <x:c r="Q33" s="23" t="n">
        <x:v>298</x:v>
      </x:c>
      <x:c r="R33" s="23" t="n">
        <x:v>35</x:v>
      </x:c>
      <x:c r="S33" s="23" t="n">
        <x:v>10</x:v>
      </x:c>
      <x:c r="T33" s="23" t="n">
        <x:v>2</x:v>
      </x:c>
      <x:c r="U33" s="23" t="n">
        <x:v>298</x:v>
      </x:c>
      <x:c r="V33" s="23" t="n">
        <x:v>0</x:v>
      </x:c>
    </x:row>
    <x:row r="34" ht="173.25" customHeight="1">
      <x:c r="A34" s="8" t="str">
        <x:v>M2-09</x:v>
      </x:c>
      <x:c r="B34" s="8" t="str">
        <x:v>male</x:v>
      </x:c>
      <x:c r="C34" s="8" t="str">
        <x:v>Interpersonal scope of organization: managing commitments involving other people</x:v>
      </x:c>
      <x:c r="D34" s="20" t="n">
        <x:v>0.0931416519374581</x:v>
      </x:c>
      <x:c r="E34" s="8" t="n">
        <x:v>12</x:v>
      </x:c>
      <x:c r="F34" s="8" t="str">
        <x:v>Participants with higher conscientiousness scores often describe organization that extends beyond their own belongings, workspace, and personal tasks to managing commitments that involve other people: attending and tracking meetings, coordinating team tasks, delivering on assignments given to them by or with others (projects, orders, team deliverables), or ensuring that others are not harmed by their mistakes (e.g., absorbing the cost of a lost item so a customer is not refunded, making sure a team's work is delivered error-free). Participants with lower scores describe organization exclusively in terms of themselves: their own desk, files, belongings, personal convenience, finding their own things, or their own stress, with any lapses affecting only themselves and being tolerated by others. This concept captures the object or scope of the participant's organizational behavior (self versus interpersonal commitments), which is distinct from whether concrete systems exist, deadline pacing for one's own work, how confidently the organization is presented, whether others recognize or praise it, and the type of personal benefit organization produces. It helps explain cases where a participant with few described personal systems scores high because their narrative centers on reliably delivering for a team or customer, and cases where a participant with maintained personal systems scores lower because the organization never extends to anyone else.</x:v>
      </x:c>
      <x:c r="G34" s="8" t="str">
        <x:v>Does the participant describe organizing or keeping track of commitments that involve other people (meetings, team tasks, deliverables, orders, protecting others from their mistakes), versus organizing only their own tasks, belongings, and workspace?</x:v>
      </x:c>
      <x:c r="H34" s="8" t="str">
        <x:v>-2: Self-only organization
-1: Personal obligations without interpersonal coordination
1: Interpersonal coordination of shared commitments
2: Accountability for others' outcomes
0: Uncertain
0: Not applicable</x:v>
      </x:c>
      <x:c r="I34" s="22" t="n">
        <x:v>86</x:v>
      </x:c>
      <x:c r="J34" s="22" t="n">
        <x:v>81</x:v>
      </x:c>
      <x:c r="K34" s="22" t="n">
        <x:v>3</x:v>
      </x:c>
      <x:c r="L34" s="22" t="n">
        <x:v>2</x:v>
      </x:c>
      <x:c r="M34" s="22" t="n">
        <x:v>0</x:v>
      </x:c>
      <x:c r="N34" s="22" t="n">
        <x:v>81</x:v>
      </x:c>
      <x:c r="O34" s="22" t="n">
        <x:v>0</x:v>
      </x:c>
      <x:c r="P34" s="22" t="n">
        <x:v>345</x:v>
      </x:c>
      <x:c r="Q34" s="22" t="n">
        <x:v>318</x:v>
      </x:c>
      <x:c r="R34" s="22" t="n">
        <x:v>19</x:v>
      </x:c>
      <x:c r="S34" s="22" t="n">
        <x:v>5</x:v>
      </x:c>
      <x:c r="T34" s="22" t="n">
        <x:v>3</x:v>
      </x:c>
      <x:c r="U34" s="22" t="n">
        <x:v>318</x:v>
      </x:c>
      <x:c r="V34" s="22" t="n">
        <x:v>0</x:v>
      </x:c>
    </x:row>
    <x:row r="35" ht="173.25" customHeight="1">
      <x:c r="A35" s="3" t="str">
        <x:v>M2-10</x:v>
      </x:c>
      <x:c r="B35" s="3" t="str">
        <x:v>male</x:v>
      </x:c>
      <x:c r="C35" s="3" t="str">
        <x:v>Scope and totality of the organizational self-claim</x:v>
      </x:c>
      <x:c r="D35" s="21" t="n">
        <x:v>0.09117088153210498</x:v>
      </x:c>
      <x:c r="E35" s="3" t="n">
        <x:v>13</x:v>
      </x:c>
      <x:c r="F35" s="3" t="str">
        <x:v>This concept captures how broad and unconditional the participant's claim about their own organization is, distinct from how confident or externally validated it sounds, from whether concrete systems exist, and from the temporal narrative of how the organization developed. Participants with higher conscientiousness scores tend to make totalizing, unbounded claims: organization applies to 'everything I do', 'so many areas of my life', 'life generally', 'overall', or to all of their belongings ('I always know where I have my things'), sometimes with an explicit inability to function without order. Participants with lower scores tend to either hedge and qualify the claim ('fairly organized', 'usually pretty organized', 'I don't know if it impacted my behavior') or make strong but bounded claims, scoping their organizedness to a single domain, role, tool, or behavior type ('extremely organized with my lists', 'at work I am very organized', 'I always meet deadlines', 'my organisation at school', 'in my workplace'). Mid-range participants claim organization across multiple domains as situated practice without totalizing language about themselves as a whole. This distinction helps explain high-error cases where a participant is rated highly on confidence or systems but scores lower because the claim is confined to one tool or context, and cases where a participant describes few concrete tools yet scores high because the claim is unconditional and life-wide.</x:v>
      </x:c>
      <x:c r="G35" s="3" t="str">
        <x:v>When describing their own organization, how broad and unconditional is the participant's claim about it: hedged or conditional, bounded to specific domains or tools, spanning multiple domains without totality language, or unconditional and life-wide?</x:v>
      </x:c>
      <x:c r="H35" s="3" t="str">
        <x:v>-2: Hedged or conditional self-claim
-1: Domain- or tool-bounded claim
1: Multi-domain claim without totality language
2: Unconditional life-wide claim
0: Uncertain
0: Not applicable</x:v>
      </x:c>
      <x:c r="I35" s="23" t="n">
        <x:v>86</x:v>
      </x:c>
      <x:c r="J35" s="23" t="n">
        <x:v>76</x:v>
      </x:c>
      <x:c r="K35" s="23" t="n">
        <x:v>4</x:v>
      </x:c>
      <x:c r="L35" s="23" t="n">
        <x:v>3</x:v>
      </x:c>
      <x:c r="M35" s="23" t="n">
        <x:v>3</x:v>
      </x:c>
      <x:c r="N35" s="23" t="n">
        <x:v>76</x:v>
      </x:c>
      <x:c r="O35" s="23" t="n">
        <x:v>0</x:v>
      </x:c>
      <x:c r="P35" s="23" t="n">
        <x:v>345</x:v>
      </x:c>
      <x:c r="Q35" s="23" t="n">
        <x:v>318</x:v>
      </x:c>
      <x:c r="R35" s="23" t="n">
        <x:v>19</x:v>
      </x:c>
      <x:c r="S35" s="23" t="n">
        <x:v>5</x:v>
      </x:c>
      <x:c r="T35" s="23" t="n">
        <x:v>3</x:v>
      </x:c>
      <x:c r="U35" s="23" t="n">
        <x:v>318</x:v>
      </x:c>
      <x:c r="V35" s="23" t="n">
        <x:v>0</x:v>
      </x:c>
    </x:row>
    <x:row r="36" ht="187.5" customHeight="1">
      <x:c r="A36" s="8" t="str">
        <x:v>M2-11</x:v>
      </x:c>
      <x:c r="B36" s="8" t="str">
        <x:v>male</x:v>
      </x:c>
      <x:c r="C36" s="8" t="str">
        <x:v>Execution planning versus personal logistics and task tracking</x:v>
      </x:c>
      <x:c r="D36" s="20" t="n">
        <x:v>-0.04599414713567311</x:v>
      </x:c>
      <x:c r="E36" s="8" t="n">
        <x:v>17</x:v>
      </x:c>
      <x:c r="F36" s="8" t="str">
        <x:v>This concept captures the object of the participant's organizational effort: whether it targets the content of their work tasks or only their personal readiness and information about outstanding items. Participants with higher conscientiousness scores tend to describe how they plan and carry out the work itself: breaking tasks into steps, milestones, and objectives, gathering materials and knowledge before beginning, planning study sessions around tests and due dates, creating notes and records specifically to support later task execution, or laying out how team tasks are to be carried out. Participants with lower scores tend to describe either personal readiness logistics only (laying out clothes the night before, arriving early, setting up the workspace, tidiness, punctuality) or bare task tracking (running to-do lists, reminders, self-emails, calendars of meetings and deadlines) with no description of how the actual work is approached. Mid-range participants mix logistics or tracking with some task-level planning. This is distinct from deadline pacing (early versus last-minute), from prioritization and monitoring versus static storage, from interpersonal scope, and from the concreteness of description, and helps explain cases where a participant with elaborate morning or workspace routines scores low because the work content itself is never planned, and cases where a participant with few described tools scores high because the narrative centers on strategically planning and executing the work.</x:v>
      </x:c>
      <x:c r="G36" s="8" t="str">
        <x:v>Does the participant describe planning and structuring the content of their work tasks (steps, milestones, preparation of materials and knowledge, records to support execution), versus only managing personal readiness and workspace logistics, or only tracking outstanding tasks with lists and reminders?</x:v>
      </x:c>
      <x:c r="H36" s="8" t="str">
        <x:v>-2: Personal readiness logistics only
-1: Task tracking without execution planning
1: Mixed logistics or tracking with some execution planning
2: Detailed strategic execution planning
0: Uncertain
0: Not applicable</x:v>
      </x:c>
      <x:c r="I36" s="22" t="n">
        <x:v>86</x:v>
      </x:c>
      <x:c r="J36" s="22" t="n">
        <x:v>63</x:v>
      </x:c>
      <x:c r="K36" s="22" t="n">
        <x:v>18</x:v>
      </x:c>
      <x:c r="L36" s="22" t="n">
        <x:v>5</x:v>
      </x:c>
      <x:c r="M36" s="22" t="n">
        <x:v>0</x:v>
      </x:c>
      <x:c r="N36" s="22" t="n">
        <x:v>63</x:v>
      </x:c>
      <x:c r="O36" s="22" t="n">
        <x:v>0</x:v>
      </x:c>
      <x:c r="P36" s="22" t="n">
        <x:v>345</x:v>
      </x:c>
      <x:c r="Q36" s="22" t="n">
        <x:v>218</x:v>
      </x:c>
      <x:c r="R36" s="22" t="n">
        <x:v>94</x:v>
      </x:c>
      <x:c r="S36" s="22" t="n">
        <x:v>33</x:v>
      </x:c>
      <x:c r="T36" s="22" t="n">
        <x:v>0</x:v>
      </x:c>
      <x:c r="U36" s="22" t="n">
        <x:v>218</x:v>
      </x:c>
      <x:c r="V36" s="22" t="n">
        <x:v>0</x:v>
      </x:c>
    </x:row>
    <x:row r="37" ht="173.25" customHeight="1">
      <x:c r="A37" s="3" t="str">
        <x:v>M2-12</x:v>
      </x:c>
      <x:c r="B37" s="3" t="str">
        <x:v>male</x:v>
      </x:c>
      <x:c r="C37" s="3" t="str">
        <x:v>Granularity of the organizing unit in the participant's organization</x:v>
      </x:c>
      <x:c r="D37" s="21" t="n">
        <x:v>0.19520744115455785</x:v>
      </x:c>
      <x:c r="E37" s="3" t="n">
        <x:v>21</x:v>
      </x:c>
      <x:c r="F37" s="3" t="str">
        <x:v>This concept captures the scale or fineness of the unit around which the participant's organization operates, which is distinct from whether systems exist, from deadline pacing, from whether the organization is dynamic or static, and from how the work content versus logistics is planned. Participants with higher conscientiousness scores tend to describe organizing at fine-grained, recurring units: structuring individual tasks (a game plan per task, preparing materials and knowledge before beginning, outlines of tasks and milestones, prioritizing the most urgent items, planning specific study sessions or work phases) or maintaining day- and week-level rhythms (planning the day on a written schedule, aligning tasks daily, organizing a team toward daily targets). Participants in the middle range organize at the level of projects, courses, or deadlines (sequencing projects by due date or start and end time, completing coursework ahead of time, one-off thorough reorganizations). Participants with lower scores describe organization only at coarse, domain-level scale (a tidy desk, no clutter, being on time, generally meeting deadlines) or offer no enacted organizing unit at all, only trait claims, benefit statements, or reputational assertions. The concept is rated by the finest unit the participant clearly describes, regardless of how detailed or confident the description is.</x:v>
      </x:c>
      <x:c r="G37" s="3" t="str">
        <x:v>At what scale does the participant describe their organization operating: no described unit, whole domains or general appearance, projects or deadlines, recurring day- or week-level rhythms, or individual tasks and their preparation?</x:v>
      </x:c>
      <x:c r="H37" s="3" t="str">
        <x:v>1: No described organizing unit
2: Domain-level order only
3: Project- or deadline-level units
4: Day- or week-level recurring units
5: Task-level structuring and preparation
0: Uncertain
0: Not applicable</x:v>
      </x:c>
      <x:c r="I37" s="23" t="n">
        <x:v>86</x:v>
      </x:c>
      <x:c r="J37" s="23" t="n">
        <x:v>83</x:v>
      </x:c>
      <x:c r="K37" s="23" t="n">
        <x:v>2</x:v>
      </x:c>
      <x:c r="L37" s="23" t="n">
        <x:v>1</x:v>
      </x:c>
      <x:c r="M37" s="23" t="n">
        <x:v>0</x:v>
      </x:c>
      <x:c r="N37" s="23" t="n">
        <x:v>83</x:v>
      </x:c>
      <x:c r="O37" s="23" t="n">
        <x:v>0</x:v>
      </x:c>
      <x:c r="P37" s="23" t="n">
        <x:v>345</x:v>
      </x:c>
      <x:c r="Q37" s="23" t="n">
        <x:v>322</x:v>
      </x:c>
      <x:c r="R37" s="23" t="n">
        <x:v>19</x:v>
      </x:c>
      <x:c r="S37" s="23" t="n">
        <x:v>3</x:v>
      </x:c>
      <x:c r="T37" s="23" t="n">
        <x:v>1</x:v>
      </x:c>
      <x:c r="U37" s="23" t="n">
        <x:v>322</x:v>
      </x:c>
      <x:c r="V37" s="23" t="n">
        <x:v>0</x:v>
      </x:c>
    </x:row>
    <x:row r="38" ht="159" customHeight="1">
      <x:c r="A38" s="8" t="str">
        <x:v>M2-13</x:v>
      </x:c>
      <x:c r="B38" s="8" t="str">
        <x:v>male</x:v>
      </x:c>
      <x:c r="C38" s="8" t="str">
        <x:v>Diligence and focus language in duty execution versus order-only or distractibility descriptions</x:v>
      </x:c>
      <x:c r="D38" s="20" t="n">
        <x:v>-0.2410436454592594</x:v>
      </x:c>
      <x:c r="E38" s="8" t="n">
        <x:v>22</x:v>
      </x:c>
      <x:c r="F38" s="8" t="str">
        <x:v>This concept captures whether the participant's self-description centers on the disciplined, effortful execution of their duties rather than on the arrangement of things or spaces. Participants with higher conscientiousness scores often describe how they carry out work: doing duties 'one at a time with full concentration', refusing to let themselves be distracted, keeping on top of every piece of data, supervising others' work for compliance to standards, setting goals and targets across timescales, or persisting in doing things 'how they must be done no matter the challenges'. Participants with lower scores either describe only order, tidiness, or placement of items with no content about how work is performed, or openly describe attention problems: being easily distracted, having a hard time staying focused, or their mind being elsewhere while tasks are processed. This concept is distinct from whether organizational systems exist, deadline pacing, confidence, narrative framing, lapse handling, dynamic management, interpersonal scope, or the granularity of organizing units, because it rates the presence of diligence, focus, and persistence language about work execution itself, not the state of the participant's environment.</x:v>
      </x:c>
      <x:c r="G38" s="8" t="str">
        <x:v>Does the participant describe how they execute their duties in terms of diligence, concentration, or persistence, versus describing only the arrangement or order of things, or describing struggles with distraction and focus?</x:v>
      </x:c>
      <x:c r="H38" s="8" t="str">
        <x:v>-2: Described distractibility or attention struggle
-1: Order-only description without work execution content
0: Uncertain
0: Not applicable
1: Diligent focused task execution
2: Persistent discipline with standards or multi-level goals</x:v>
      </x:c>
      <x:c r="I38" s="22" t="n">
        <x:v>86</x:v>
      </x:c>
      <x:c r="J38" s="22" t="n">
        <x:v>76</x:v>
      </x:c>
      <x:c r="K38" s="22" t="n">
        <x:v>10</x:v>
      </x:c>
      <x:c r="L38" s="22" t="n">
        <x:v>0</x:v>
      </x:c>
      <x:c r="M38" s="22" t="n">
        <x:v>0</x:v>
      </x:c>
      <x:c r="N38" s="22" t="n">
        <x:v>76</x:v>
      </x:c>
      <x:c r="O38" s="22" t="n">
        <x:v>0</x:v>
      </x:c>
      <x:c r="P38" s="22" t="n">
        <x:v>345</x:v>
      </x:c>
      <x:c r="Q38" s="22" t="n">
        <x:v>294</x:v>
      </x:c>
      <x:c r="R38" s="22" t="n">
        <x:v>48</x:v>
      </x:c>
      <x:c r="S38" s="22" t="n">
        <x:v>3</x:v>
      </x:c>
      <x:c r="T38" s="22" t="n">
        <x:v>0</x:v>
      </x:c>
      <x:c r="U38" s="22" t="n">
        <x:v>294</x:v>
      </x:c>
      <x:c r="V38" s="22" t="n">
        <x:v>0</x:v>
      </x:c>
    </x:row>
    <x:row r="39" ht="187.5" customHeight="1">
      <x:c r="A39" s="3" t="str">
        <x:v>M2-14</x:v>
      </x:c>
      <x:c r="B39" s="3" t="str">
        <x:v>male</x:v>
      </x:c>
      <x:c r="C39" s="3" t="str">
        <x:v>Depth and thoroughness of effort invested in organizing</x:v>
      </x:c>
      <x:c r="D39" s="21" t="n">
        <x:v>0.1916853241598129</x:v>
      </x:c>
      <x:c r="E39" s="3" t="n">
        <x:v>25</x:v>
      </x:c>
      <x:c r="F39" s="3" t="str">
        <x:v>This concept captures how much effort, time, and thoroughness the participant describes actually investing in organizing, preparing, maintaining order, or restoring it, and how complete or error-free they require the result to be. Participants with higher conscientiousness scores tend to describe substantial invested effort: exhaustive searches lasting many hours to protect others from loss, thorough one-off reorganizations of paperwork, meticulous planning, near-perfect standards of completeness, ensuring subordinates' compliance, or persisting 'no matter the challenges'. Mid-range participants describe deliberate, recurring preparatory effort (laying out clothes and checking belongings the night before, taking and filing clear notes as an ongoing practice). Participants with lower scores describe only minimal, quick, or low-investment acts ('a quick email', 'little reminders', 'I just get to it'), effort spent merely to compensate for their own disorganization (buffer time to find misplaced things), things 'slipping through the cracks', or routine habits maintained matter-of-factly with no thoroughness or completeness standard expressed. This is distinct from whether organizational systems exist, from deadline pacing, from confidence or narrative framing, from lapse handling (which rates whether failures are recovered from), from verification behaviors (checking correctness), and from diligence and focus language (concentration while executing duties): it rates the magnitude and depth of effort and the standard of completeness attached to the participant's own organizing behavior.</x:v>
      </x:c>
      <x:c r="G39" s="3" t="str">
        <x:v>How much effort, time, and thoroughness does the participant describe investing in organizing, preparing, or restoring order, and how complete must the results be?</x:v>
      </x:c>
      <x:c r="H39" s="3" t="str">
        <x:v>-2: Minimal or coping-level effort only
-1: Routine habits without thoroughness emphasis
1: Deliberate repeated preparation
2: Thorough or exhaustive effort with high completeness standards
0: Uncertain
0: Not applicable</x:v>
      </x:c>
      <x:c r="I39" s="23" t="n">
        <x:v>86</x:v>
      </x:c>
      <x:c r="J39" s="23" t="n">
        <x:v>62</x:v>
      </x:c>
      <x:c r="K39" s="23" t="n">
        <x:v>22</x:v>
      </x:c>
      <x:c r="L39" s="23" t="n">
        <x:v>2</x:v>
      </x:c>
      <x:c r="M39" s="23" t="n">
        <x:v>0</x:v>
      </x:c>
      <x:c r="N39" s="23" t="n">
        <x:v>62</x:v>
      </x:c>
      <x:c r="O39" s="23" t="n">
        <x:v>0</x:v>
      </x:c>
      <x:c r="P39" s="23" t="n">
        <x:v>345</x:v>
      </x:c>
      <x:c r="Q39" s="23" t="n">
        <x:v>240</x:v>
      </x:c>
      <x:c r="R39" s="23" t="n">
        <x:v>82</x:v>
      </x:c>
      <x:c r="S39" s="23" t="n">
        <x:v>23</x:v>
      </x:c>
      <x:c r="T39" s="23" t="n">
        <x:v>0</x:v>
      </x:c>
      <x:c r="U39" s="23" t="n">
        <x:v>240</x:v>
      </x:c>
      <x:c r="V39" s="23" t="n">
        <x:v>0</x:v>
      </x:c>
    </x:row>
    <x:row r="40" ht="187.5" customHeight="1">
      <x:c r="A40" s="8" t="str">
        <x:v>M2-15</x:v>
      </x:c>
      <x:c r="B40" s="8" t="str">
        <x:v>male</x:v>
      </x:c>
      <x:c r="C40" s="8" t="str">
        <x:v>Temporal commitment tracking versus item and space arrangement</x:v>
      </x:c>
      <x:c r="D40" s="20" t="n">
        <x:v>-0.134922456539348</x:v>
      </x:c>
      <x:c r="E40" s="8" t="n">
        <x:v>29</x:v>
      </x:c>
      <x:c r="F40" s="8" t="str">
        <x:v>This concept captures what the participant's organization operates on: whether it targets their obligations and activities in time, or only the arrangement of items and spaces, or nothing identifiable at all. Participants with higher conscientiousness scores tend to describe organization that encompasses tracking or scheduling their commitments: keeping track of tasks, projects, deadlines, and worklists, planning their day on a schedule, ordering projects by start and end times, sequencing work by urgency, or staging preparation the evening before for the next day. Participants with lower scores tend to describe organization only as the placement, tidiness, or findability of physical or digital items and spaces (desk, table, wardrobe, belongings, stored emails and notes) with no mention of when anything will be done, or to offer only trait, reputational, benefit, or disorganization claims with no organized object at all. This concept is distinct from deadline pacing (whether work is finished early or last minute), from the dynamic-versus-static manner of management (prioritizing and monitoring versus storing), from the granularity of organizing units, and from execution planning: it rates only the target domain of the organization, regardless of how detailed, confident, or effortful the description is. It helps explain cases where a participant with a tidy, arranged environment scores lower because nothing in their account covers tasks, deadlines, or time, and cases where a participant with simple tools scores higher because their organization explicitly governs what must be done and when.</x:v>
      </x:c>
      <x:c r="G40" s="8" t="str">
        <x:v>Does the participant describe keeping track of or scheduling their tasks, deadlines, and activities in time, versus only arranging items and spaces, versus describing no organized object at all?</x:v>
      </x:c>
      <x:c r="H40" s="8" t="str">
        <x:v>-1: No organized object: claims or disorganization only
0: Arrangement of items or spaces only
1: Tracking of tasks or deadlines
2: Scheduling or time-planning of activities
0: Uncertain
0: Not applicable</x:v>
      </x:c>
      <x:c r="I40" s="22" t="n">
        <x:v>86</x:v>
      </x:c>
      <x:c r="J40" s="22" t="n">
        <x:v>82</x:v>
      </x:c>
      <x:c r="K40" s="22" t="n">
        <x:v>3</x:v>
      </x:c>
      <x:c r="L40" s="22" t="n">
        <x:v>1</x:v>
      </x:c>
      <x:c r="M40" s="22" t="n">
        <x:v>0</x:v>
      </x:c>
      <x:c r="N40" s="22" t="n">
        <x:v>50</x:v>
      </x:c>
      <x:c r="O40" s="22" t="n">
        <x:v>32</x:v>
      </x:c>
      <x:c r="P40" s="22" t="n">
        <x:v>345</x:v>
      </x:c>
      <x:c r="Q40" s="22" t="n">
        <x:v>317</x:v>
      </x:c>
      <x:c r="R40" s="22" t="n">
        <x:v>25</x:v>
      </x:c>
      <x:c r="S40" s="22" t="n">
        <x:v>2</x:v>
      </x:c>
      <x:c r="T40" s="22" t="n">
        <x:v>1</x:v>
      </x:c>
      <x:c r="U40" s="22" t="n">
        <x:v>197</x:v>
      </x:c>
      <x:c r="V40" s="22" t="n">
        <x:v>120</x:v>
      </x:c>
    </x:row>
  </x:sheetData>
  <x:mergeCells>
    <x:mergeCell ref="A2:H2"/>
    <x:mergeCell ref="A3:H3"/>
    <x:mergeCell ref="A4:H4"/>
    <x:mergeCell ref="A5:H5"/>
    <x:mergeCell ref="A6:H6"/>
    <x:mergeCell ref="A7:H7"/>
    <x:mergeCell ref="A8:H8"/>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9.4399995803833" hidden="0" customWidth="1"/>
    <x:col min="2" max="2" width="10" hidden="0" customWidth="1"/>
    <x:col min="3" max="3" width="40" hidden="0" customWidth="1"/>
    <x:col min="4" max="4" width="37.779998779296875" hidden="0" customWidth="1"/>
    <x:col min="5" max="5" width="9.4399995803833" hidden="0" customWidth="1"/>
    <x:col min="6" max="6" width="72.22000122070312" hidden="0" customWidth="1"/>
    <x:col min="7" max="7" width="88.88999938964844" hidden="0" customWidth="1"/>
    <x:col min="8" max="8" width="10" hidden="0" customWidth="1"/>
    <x:col min="9" max="9" width="10" hidden="0" customWidth="1"/>
    <x:col min="10" max="10" width="12.220000267028809" hidden="0" customWidth="1"/>
    <x:col min="11" max="11" width="12.220000267028809" hidden="0" customWidth="1"/>
    <x:col min="12" max="12" width="52.220001220703125" hidden="0" customWidth="1"/>
    <x:col min="13" max="13" width="15.5600004196167" hidden="0" customWidth="1"/>
  </x:cols>
  <x:sheetData>
    <x:row r="1">
      <x:c r="A1" s="3"/>
      <x:c r="B1" s="3"/>
      <x:c r="C1" s="3"/>
      <x:c r="D1" s="3"/>
      <x:c r="E1" s="3"/>
      <x:c r="F1" s="3"/>
      <x:c r="G1" s="3"/>
      <x:c r="H1" s="3"/>
      <x:c r="I1" s="3"/>
      <x:c r="J1" s="3"/>
      <x:c r="K1" s="3"/>
      <x:c r="L1" s="3"/>
      <x:c r="M1" s="3"/>
    </x:row>
    <x:row r="2" ht="34.5" customHeight="1">
      <x:c r="A2" s="9" t="str">
        <x:v>Question 2: Describe how organized you are and how this has affected your behavior at work or school</x:v>
      </x:c>
      <x:c r="B2" s="3"/>
      <x:c r="C2" s="3"/>
      <x:c r="D2" s="3"/>
      <x:c r="E2" s="3"/>
      <x:c r="F2" s="3"/>
      <x:c r="G2" s="3"/>
      <x:c r="H2" s="3"/>
      <x:c r="I2" s="3"/>
      <x:c r="J2" s="3"/>
      <x:c r="K2" s="3"/>
      <x:c r="L2" s="3"/>
      <x:c r="M2" s="3"/>
    </x:row>
    <x:row r="3" ht="27" customHeight="1">
      <x:c r="A3" s="10" t="str">
        <x:v>Rating anchors and actual quotations, grouped by the same themes as Comparison. Female concept first, followed immediately by its male counterpart.</x:v>
      </x:c>
      <x:c r="B3" s="3"/>
      <x:c r="C3" s="3"/>
      <x:c r="D3" s="3"/>
      <x:c r="E3" s="3"/>
      <x:c r="F3" s="3"/>
      <x:c r="G3" s="3"/>
      <x:c r="H3" s="3"/>
      <x:c r="I3" s="3"/>
      <x:c r="J3" s="3"/>
      <x:c r="K3" s="3"/>
      <x:c r="L3" s="3"/>
      <x:c r="M3" s="3"/>
    </x:row>
    <x:row r="4" ht="24" customHeight="1">
      <x:c r="A4" s="10" t="str">
        <x:v>Source: saved model categories and final training/holdout explanations for the two runs identified in Concept details. Each excerpt was verified against the original participant answer.</x:v>
      </x:c>
      <x:c r="B4" s="3"/>
      <x:c r="C4" s="3"/>
      <x:c r="D4" s="3"/>
      <x:c r="E4" s="3"/>
      <x:c r="F4" s="3"/>
      <x:c r="G4" s="3"/>
      <x:c r="H4" s="3"/>
      <x:c r="I4" s="3"/>
      <x:c r="J4" s="3"/>
      <x:c r="K4" s="3"/>
      <x:c r="L4" s="3"/>
      <x:c r="M4" s="3"/>
    </x:row>
    <x:row r="5" ht="24" customHeight="1">
      <x:c r="A5" s="10" t="str">
        <x:v>Female and male concepts retain their own category labels and numeric anchors. Uncertainty, Not applicable, and invalid fallbacks are excluded from substantive n. Substantive categories scored zero are included.</x:v>
      </x:c>
      <x:c r="B5" s="3"/>
      <x:c r="C5" s="3"/>
      <x:c r="D5" s="3"/>
      <x:c r="E5" s="3"/>
      <x:c r="F5" s="3"/>
      <x:c r="G5" s="3"/>
      <x:c r="H5" s="3"/>
      <x:c r="I5" s="3"/>
      <x:c r="J5" s="3"/>
      <x:c r="K5" s="3"/>
      <x:c r="L5" s="3"/>
      <x:c r="M5" s="3"/>
    </x:row>
    <x:row r="6" ht="25.5" customHeight="1">
      <x:c r="A6" s="10" t="str">
        <x:v>Column F contains the actual quotation. Each line is a separate verbatim excerpt from one saved rating. Context from another category is explicitly marked; unavailable quotations are left blank with the reason in column L.</x:v>
      </x:c>
      <x:c r="B6" s="3"/>
      <x:c r="C6" s="3"/>
      <x:c r="D6" s="3"/>
      <x:c r="E6" s="3"/>
      <x:c r="F6" s="3"/>
      <x:c r="G6" s="3"/>
      <x:c r="H6" s="3"/>
      <x:c r="I6" s="3"/>
      <x:c r="J6" s="3"/>
      <x:c r="K6" s="3"/>
      <x:c r="L6" s="3"/>
      <x:c r="M6" s="3"/>
    </x:row>
    <x:row r="7" ht="75" customHeight="1">
      <x:c r="A7" s="7" t="str">
        <x:v>Concept ID</x:v>
      </x:c>
      <x:c r="B7" s="7" t="str">
        <x:v>Gender sample</x:v>
      </x:c>
      <x:c r="C7" s="7" t="str">
        <x:v>Original concept name</x:v>
      </x:c>
      <x:c r="D7" s="7" t="str">
        <x:v>Original response category</x:v>
      </x:c>
      <x:c r="E7" s="7" t="str">
        <x:v>Rating anchor (numeric score)</x:v>
      </x:c>
      <x:c r="F7" s="7" t="str">
        <x:v>Example snippets (verbatim excerpts)</x:v>
      </x:c>
      <x:c r="G7" s="7" t="str">
        <x:v>Anchor description (original response guide)</x:v>
      </x:c>
      <x:c r="H7" s="7" t="str">
        <x:v>Training n</x:v>
      </x:c>
      <x:c r="I7" s="7" t="str">
        <x:v>Holdout n</x:v>
      </x:c>
      <x:c r="J7" s="7" t="str">
        <x:v>Participant ID</x:v>
      </x:c>
      <x:c r="K7" s="7" t="str">
        <x:v>Example source</x:v>
      </x:c>
      <x:c r="L7" s="7" t="str">
        <x:v>Snippet context or availability</x:v>
      </x:c>
      <x:c r="M7" s="7" t="str">
        <x:v>Count classification</x:v>
      </x:c>
    </x:row>
    <x:row r="8" ht="30" customHeight="1">
      <x:c r="A8" s="26" t="str">
        <x:v>1. Maintaining organizational systems across domains. F2-01 and M2-01. Close match with extensions.</x:v>
      </x:c>
      <x:c r="B8" s="26"/>
      <x:c r="C8" s="26"/>
      <x:c r="D8" s="26"/>
      <x:c r="E8" s="26"/>
      <x:c r="F8" s="26"/>
      <x:c r="G8" s="26"/>
      <x:c r="H8" s="26"/>
      <x:c r="I8" s="26"/>
      <x:c r="J8" s="26"/>
      <x:c r="K8" s="26"/>
      <x:c r="L8" s="26"/>
      <x:c r="M8" s="26"/>
    </x:row>
    <x:row r="9" ht="102" customHeight="1">
      <x:c r="A9" s="36" t="str">
        <x:v>F2-01</x:v>
      </x:c>
      <x:c r="B9" s="37" t="str">
        <x:v>female</x:v>
      </x:c>
      <x:c r="C9" s="36" t="str">
        <x:v>Maintenance of organizational routines across life domains</x:v>
      </x:c>
      <x:c r="D9" s="36" t="str">
        <x:v>Sustained routines across multiple life domains</x:v>
      </x:c>
      <x:c r="E9" s="38" t="n">
        <x:v>2</x:v>
      </x:c>
      <x:c r="F9" s="36" t="str">
        <x:v>I am extremely organised with regards to work
It seeps in from how I am in my personal life
I have a clear desk layout
carries over into my digital tools
Each area of my work has its own folder
I always ensure to keep any coaching and training</x:v>
      </x:c>
      <x:c r="G9" s="36" t="str">
        <x:v>The participant describes ongoing organizational habits or systems (schedules, routines, checklists, designated places for things) that they actively keep up over time in both work/school and personal life, without describing lapses or abandonment.</x:v>
      </x:c>
      <x:c r="H9" s="39" t="n">
        <x:v>29</x:v>
      </x:c>
      <x:c r="I9" s="39" t="n">
        <x:v>81</x:v>
      </x:c>
      <x:c r="J9" s="40" t="str">
        <x:v>24</x:v>
      </x:c>
      <x:c r="K9" s="36" t="str">
        <x:v>Training</x:v>
      </x:c>
      <x:c r="L9" s="36" t="str">
        <x:v>Exact quotation; saved under the selected category.</x:v>
      </x:c>
      <x:c r="M9" s="36" t="str">
        <x:v>Substantive</x:v>
      </x:c>
    </x:row>
    <x:row r="10" ht="73.5" customHeight="1">
      <x:c r="A10" s="8" t="str">
        <x:v>F2-01</x:v>
      </x:c>
      <x:c r="B10" s="33" t="str">
        <x:v>female</x:v>
      </x:c>
      <x:c r="C10" s="8" t="str">
        <x:v>Maintenance of organizational routines across life domains</x:v>
      </x:c>
      <x:c r="D10" s="8" t="str">
        <x:v>Organization in some domains but not others</x:v>
      </x:c>
      <x:c r="E10" s="34" t="n">
        <x:v>1</x:v>
      </x:c>
      <x:c r="F10" s="8" t="str">
        <x:v>My organization is inconsistent
hospice charts while so disorganized in other areas
my work bag is a wreck
I get easily frustrated when I can not find something</x:v>
      </x:c>
      <x:c r="G10" s="8" t="str">
        <x:v>The participant describes being organized in one area (e.g., work) while explicitly noting disorganization, clutter, or neglect in another area (e.g., home), but without describing wholesale failure of their efforts.</x:v>
      </x:c>
      <x:c r="H10" s="22" t="n">
        <x:v>14</x:v>
      </x:c>
      <x:c r="I10" s="22" t="n">
        <x:v>63</x:v>
      </x:c>
      <x:c r="J10" s="35" t="str">
        <x:v>132</x:v>
      </x:c>
      <x:c r="K10" s="8" t="str">
        <x:v>Training</x:v>
      </x:c>
      <x:c r="L10" s="8" t="str">
        <x:v>Exact quotation; saved under the selected category.</x:v>
      </x:c>
      <x:c r="M10" s="8" t="str">
        <x:v>Substantive</x:v>
      </x:c>
    </x:row>
    <x:row r="11" ht="102" customHeight="1">
      <x:c r="A11" s="27" t="str">
        <x:v>F2-01</x:v>
      </x:c>
      <x:c r="B11" s="28" t="str">
        <x:v>female</x:v>
      </x:c>
      <x:c r="C11" s="27" t="str">
        <x:v>Maintenance of organizational routines across life domains</x:v>
      </x:c>
      <x:c r="D11" s="27" t="str">
        <x:v>Repeated attempts at organization that fail or lapse</x:v>
      </x:c>
      <x:c r="E11" s="29" t="n">
        <x:v>-1</x:v>
      </x:c>
      <x:c r="F11" s="27" t="str">
        <x:v>I have had spurts over the years where I try to be
I just can't keep up with it
I have tried bins and other storage devices
I have purged my belongings
Now, everything is in piles or hung up and mixed up
I tend to ignore it all as its overwhelming</x:v>
      </x:c>
      <x:c r="G11" s="27" t="str">
        <x:v>The participant describes trying to get organized (systems, tools, purges, lists) but being unable to keep up with it, resulting in accumulated disorder, piles, avoidance, or giving up.</x:v>
      </x:c>
      <x:c r="H11" s="31" t="n">
        <x:v>7</x:v>
      </x:c>
      <x:c r="I11" s="31" t="n">
        <x:v>23</x:v>
      </x:c>
      <x:c r="J11" s="32" t="str">
        <x:v>689</x:v>
      </x:c>
      <x:c r="K11" s="27" t="str">
        <x:v>Training</x:v>
      </x:c>
      <x:c r="L11" s="27" t="str">
        <x:v>Exact quotation; saved under the selected category.</x:v>
      </x:c>
      <x:c r="M11" s="27" t="str">
        <x:v>Substantive</x:v>
      </x:c>
    </x:row>
    <x:row r="12" ht="58.5" customHeight="1">
      <x:c r="A12" s="8" t="str">
        <x:v>F2-01</x:v>
      </x:c>
      <x:c r="B12" s="33" t="str">
        <x:v>female</x:v>
      </x:c>
      <x:c r="C12" s="8" t="str">
        <x:v>Maintenance of organizational routines across life domains</x:v>
      </x:c>
      <x:c r="D12" s="8" t="str">
        <x:v>Uncertain</x:v>
      </x:c>
      <x:c r="E12" s="34" t="n">
        <x:v>0</x:v>
      </x:c>
      <x:c r="F12" s="8" t="str">
        <x:v>I could tell you exactly where to find a paperclip
My thought process and ways of going about things or planning</x:v>
      </x:c>
      <x:c r="G12" s="8" t="str">
        <x:v>The interview does not provide clear evidence about whether organizational routines are maintained across domains or whether efforts succeed or fail.</x:v>
      </x:c>
      <x:c r="H12" s="22" t="n">
        <x:v>42</x:v>
      </x:c>
      <x:c r="I12" s="22" t="n">
        <x:v>201</x:v>
      </x:c>
      <x:c r="J12" s="35" t="str">
        <x:v>131</x:v>
      </x:c>
      <x:c r="K12" s="8" t="str">
        <x:v>Training</x:v>
      </x:c>
      <x:c r="L12" s="8" t="str">
        <x:v>Exact quotation; saved under the selected category.</x:v>
      </x:c>
      <x:c r="M12" s="8" t="str">
        <x:v>Uncertain</x:v>
      </x:c>
    </x:row>
    <x:row r="13" ht="58.5" customHeight="1">
      <x:c r="A13" s="27" t="str">
        <x:v>F2-01</x:v>
      </x:c>
      <x:c r="B13" s="28" t="str">
        <x:v>female</x:v>
      </x:c>
      <x:c r="C13" s="27" t="str">
        <x:v>Maintenance of organizational routines across life domains</x:v>
      </x:c>
      <x:c r="D13" s="27" t="str">
        <x:v>[Invalid response: zero fallback]</x:v>
      </x:c>
      <x:c r="E13" s="29" t="n">
        <x:v>0</x:v>
      </x:c>
      <x:c r="F13" s="27" t="str"/>
      <x:c r="G13" s="27" t="str">
        <x:v>The completed rating failed validation or did not match a valid response category. The saved pipeline assigned a flagged zero. This is a processing fallback, not a generated category.</x:v>
      </x:c>
      <x:c r="H13" s="31" t="n">
        <x:v>0</x:v>
      </x:c>
      <x:c r="I13" s="31" t="n">
        <x:v>2</x:v>
      </x:c>
      <x:c r="J13" s="32" t="str"/>
      <x:c r="K13" s="27" t="str"/>
      <x:c r="L13" s="27" t="str">
        <x:v>No category quotation is assigned to invalid responses.</x:v>
      </x:c>
      <x:c r="M13" s="27" t="str">
        <x:v>Invalid fallback</x:v>
      </x:c>
    </x:row>
    <x:row r="14" ht="73.5" customHeight="1">
      <x:c r="A14" s="36" t="str">
        <x:v>M2-01</x:v>
      </x:c>
      <x:c r="B14" s="37" t="str">
        <x:v>male</x:v>
      </x:c>
      <x:c r="C14" s="36" t="str">
        <x:v>Concrete organizational systems and routines described</x:v>
      </x:c>
      <x:c r="D14" s="36" t="str">
        <x:v>Recurring disorganization with misplacement</x:v>
      </x:c>
      <x:c r="E14" s="38" t="n">
        <x:v>-2</x:v>
      </x:c>
      <x:c r="F14" s="36" t="str">
        <x:v>I consider myself to be slightly unorganized
I spend extra time searching for things
makes searching for files more difficult</x:v>
      </x:c>
      <x:c r="G14" s="36" t="str">
        <x:v>Participant describes ongoing difficulty keeping things in order, frequently misplacing items, or needing to budget extra time to locate belongings. Examples: regularly losing keys, phone, or documents; having piles of unsorted papers or cluttered spaces; stating they are 'always late because I can't find my stuff' or that their desk, room, or files are chronically messy.</x:v>
      </x:c>
      <x:c r="H14" s="39" t="n">
        <x:v>4</x:v>
      </x:c>
      <x:c r="I14" s="39" t="n">
        <x:v>30</x:v>
      </x:c>
      <x:c r="J14" s="40" t="str">
        <x:v>752</x:v>
      </x:c>
      <x:c r="K14" s="36" t="str">
        <x:v>Training</x:v>
      </x:c>
      <x:c r="L14" s="36" t="str">
        <x:v>Exact quotation; saved under the selected category.</x:v>
      </x:c>
      <x:c r="M14" s="36" t="str">
        <x:v>Substantive</x:v>
      </x:c>
    </x:row>
    <x:row r="15" ht="73.5" customHeight="1">
      <x:c r="A15" s="8" t="str">
        <x:v>M2-01</x:v>
      </x:c>
      <x:c r="B15" s="33" t="str">
        <x:v>male</x:v>
      </x:c>
      <x:c r="C15" s="8" t="str">
        <x:v>Concrete organizational systems and routines described</x:v>
      </x:c>
      <x:c r="D15" s="8" t="str">
        <x:v>Ad-hoc or intent-only organization</x:v>
      </x:c>
      <x:c r="E15" s="34" t="n">
        <x:v>-1</x:v>
      </x:c>
      <x:c r="F15" s="8" t="str">
        <x:v>I am not particularly tidy
I try to keep things in place that make sense
access them quickly if it is something I need frequently</x:v>
      </x:c>
      <x:c r="G15" s="8" t="str">
        <x:v>Participant expresses a desire or vague effort to be organized but describes no specific system, tool, or routine in place. Examples: saying they 'should get a planner' or 'want to be more organized someday' without any concrete practice; describing generic intentions like 'I try to keep things tidy' without naming a tool, method, or schedule; occasionally cleaning up in bursts without any maintained structure.</x:v>
      </x:c>
      <x:c r="H15" s="22" t="n">
        <x:v>22</x:v>
      </x:c>
      <x:c r="I15" s="22" t="n">
        <x:v>78</x:v>
      </x:c>
      <x:c r="J15" s="35" t="str">
        <x:v>903</x:v>
      </x:c>
      <x:c r="K15" s="8" t="str">
        <x:v>Training</x:v>
      </x:c>
      <x:c r="L15" s="8" t="str">
        <x:v>Exact quotation; saved under the selected category.</x:v>
      </x:c>
      <x:c r="M15" s="8" t="str">
        <x:v>Substantive</x:v>
      </x:c>
    </x:row>
    <x:row r="16" ht="87.75" customHeight="1">
      <x:c r="A16" s="27" t="str">
        <x:v>M2-01</x:v>
      </x:c>
      <x:c r="B16" s="28" t="str">
        <x:v>male</x:v>
      </x:c>
      <x:c r="C16" s="27" t="str">
        <x:v>Concrete organizational systems and routines described</x:v>
      </x:c>
      <x:c r="D16" s="27" t="str">
        <x:v>Partial or domain-specific system</x:v>
      </x:c>
      <x:c r="E16" s="29" t="n">
        <x:v>1</x:v>
      </x:c>
      <x:c r="F16" s="27" t="str">
        <x:v>I rely heavily on notes and little reminders
Microsoft One Note a tool which helps me stay organized
send myself a quick email when I think of something</x:v>
      </x:c>
      <x:c r="G16" s="27" t="str">
        <x:v>Participant describes some concrete organizational practice, but notes it applies only to certain domains, requires external help to maintain, or is inconsistently upheld. Examples: keeping a neat work email inbox but a chaotic personal life; using a calendar only when someone else sets it up; maintaining organized spreadsheets for one class but losing track of everything else; describing systems they 'keep meaning to use' or only follow sporadically.</x:v>
      </x:c>
      <x:c r="H16" s="31" t="n">
        <x:v>29</x:v>
      </x:c>
      <x:c r="I16" s="31" t="n">
        <x:v>130</x:v>
      </x:c>
      <x:c r="J16" s="32" t="str">
        <x:v>547</x:v>
      </x:c>
      <x:c r="K16" s="27" t="str">
        <x:v>Training</x:v>
      </x:c>
      <x:c r="L16" s="27" t="str">
        <x:v>Exact quotation; saved under the selected category.</x:v>
      </x:c>
      <x:c r="M16" s="27" t="str">
        <x:v>Substantive</x:v>
      </x:c>
    </x:row>
    <x:row r="17" ht="87.75" customHeight="1">
      <x:c r="A17" s="8" t="str">
        <x:v>M2-01</x:v>
      </x:c>
      <x:c r="B17" s="33" t="str">
        <x:v>male</x:v>
      </x:c>
      <x:c r="C17" s="8" t="str">
        <x:v>Concrete organizational systems and routines described</x:v>
      </x:c>
      <x:c r="D17" s="8" t="str">
        <x:v>Consistent system across domains</x:v>
      </x:c>
      <x:c r="E17" s="34" t="n">
        <x:v>2</x:v>
      </x:c>
      <x:c r="F17" s="8" t="str">
        <x:v>I make lists for setting priority functions in personal and work life
I check off those lists as I accomplish those goals
I set calendar events to avoid missing deadlines
i respond to emails and inquiries immediately</x:v>
      </x:c>
      <x:c r="G17" s="8" t="str">
        <x:v>Participant describes at least one specific system, tool, or routine (e.g., planner, calendar, folders, fixed routine) that is actively and reliably maintained at work or school and beyond. Examples: using a digital calendar with reminders for both work and personal appointments; keeping labeled folders for documents and a weekly planning ritual; following a fixed morning routine and a to-do list they check daily; describing filing systems, color-coded notes, or scheduled tidying that they reliably sustain.</x:v>
      </x:c>
      <x:c r="H17" s="22" t="n">
        <x:v>18</x:v>
      </x:c>
      <x:c r="I17" s="22" t="n">
        <x:v>59</x:v>
      </x:c>
      <x:c r="J17" s="35" t="str">
        <x:v>78</x:v>
      </x:c>
      <x:c r="K17" s="8" t="str">
        <x:v>Training</x:v>
      </x:c>
      <x:c r="L17" s="8" t="str">
        <x:v>Exact quotation; saved under the selected category.</x:v>
      </x:c>
      <x:c r="M17" s="8" t="str">
        <x:v>Substantive</x:v>
      </x:c>
    </x:row>
    <x:row r="18" ht="87.75" customHeight="1">
      <x:c r="A18" s="27" t="str">
        <x:v>M2-01</x:v>
      </x:c>
      <x:c r="B18" s="28" t="str">
        <x:v>male</x:v>
      </x:c>
      <x:c r="C18" s="27" t="str">
        <x:v>Concrete organizational systems and routines described</x:v>
      </x:c>
      <x:c r="D18" s="27" t="str">
        <x:v>Rigid multi-domain system with emotional investment</x:v>
      </x:c>
      <x:c r="E18" s="29" t="n">
        <x:v>3</x:v>
      </x:c>
      <x:c r="F18" s="27" t="str">
        <x:v>There is a place for everything and everything will be in it's place
I am very much OCD about things not being where they are suppose to be</x:v>
      </x:c>
      <x:c r="G18" s="27" t="str">
        <x:v>Participant describes detailed systems spanning multiple domains plus strong emotional attachment to order, such as anxiety, panic, or significant frustration when things are disorganized or out of place. Examples: maintaining elaborate planners, spreadsheets, and labeled storage across work, home, and finances; reporting that a misplaced item or a disrupted schedule causes anxiety, panic, or intense irritation; describing themselves as 'obsessed' with organization or unable to function when things are out of order.</x:v>
      </x:c>
      <x:c r="H18" s="31" t="n">
        <x:v>5</x:v>
      </x:c>
      <x:c r="I18" s="31" t="n">
        <x:v>15</x:v>
      </x:c>
      <x:c r="J18" s="32" t="str">
        <x:v>539</x:v>
      </x:c>
      <x:c r="K18" s="27" t="str">
        <x:v>Training</x:v>
      </x:c>
      <x:c r="L18" s="27" t="str">
        <x:v>Exact quotation; saved under the selected category.</x:v>
      </x:c>
      <x:c r="M18" s="27" t="str">
        <x:v>Substantive</x:v>
      </x:c>
    </x:row>
    <x:row r="19" ht="73.5" customHeight="1">
      <x:c r="A19" s="8" t="str">
        <x:v>M2-01</x:v>
      </x:c>
      <x:c r="B19" s="33" t="str">
        <x:v>male</x:v>
      </x:c>
      <x:c r="C19" s="8" t="str">
        <x:v>Concrete organizational systems and routines described</x:v>
      </x:c>
      <x:c r="D19" s="8" t="str">
        <x:v>Uncertain</x:v>
      </x:c>
      <x:c r="E19" s="34" t="n">
        <x:v>0</x:v>
      </x:c>
      <x:c r="F19" s="8" t="str">
        <x:v>I am a fairly organized individual.
not being messy or having clutter at my desk
Since I am organized at home, I am also organized
I also get work finished sooner because of my organization skills</x:v>
      </x:c>
      <x:c r="G19" s="8" t="str">
        <x:v>The interview gives mixed or ambiguous evidence about whether concrete organizational systems are actually maintained, such as describing systems whose actual use is unclear, giving contradictory statements about organization, or providing too little detail to judge.</x:v>
      </x:c>
      <x:c r="H19" s="22" t="n">
        <x:v>8</x:v>
      </x:c>
      <x:c r="I19" s="22" t="n">
        <x:v>33</x:v>
      </x:c>
      <x:c r="J19" s="35" t="str">
        <x:v>343</x:v>
      </x:c>
      <x:c r="K19" s="8" t="str">
        <x:v>Training</x:v>
      </x:c>
      <x:c r="L19" s="8" t="str">
        <x:v>Exact quotation; saved under the selected category.</x:v>
      </x:c>
      <x:c r="M19" s="8" t="str">
        <x:v>Uncertain</x:v>
      </x:c>
    </x:row>
    <x:row r="20" ht="58.5" customHeight="1">
      <x:c r="A20" s="27" t="str">
        <x:v>M2-01</x:v>
      </x:c>
      <x:c r="B20" s="28" t="str">
        <x:v>male</x:v>
      </x:c>
      <x:c r="C20" s="27" t="str">
        <x:v>Concrete organizational systems and routines described</x:v>
      </x:c>
      <x:c r="D20" s="27" t="str">
        <x:v>[Invalid response: zero fallback]</x:v>
      </x:c>
      <x:c r="E20" s="29" t="n">
        <x:v>0</x:v>
      </x:c>
      <x:c r="F20" s="27" t="str"/>
      <x:c r="G20" s="27" t="str">
        <x:v>The completed rating failed validation or did not match a valid response category. The saved pipeline assigned a flagged zero. This is a processing fallback, not a generated category.</x:v>
      </x:c>
      <x:c r="H20" s="31" t="n">
        <x:v>0</x:v>
      </x:c>
      <x:c r="I20" s="31" t="n">
        <x:v>0</x:v>
      </x:c>
      <x:c r="J20" s="32" t="str"/>
      <x:c r="K20" s="27" t="str"/>
      <x:c r="L20" s="27" t="str">
        <x:v>No category quotation is assigned to invalid responses.</x:v>
      </x:c>
      <x:c r="M20" s="27" t="str">
        <x:v>Invalid fallback</x:v>
      </x:c>
    </x:row>
    <x:row r="21" ht="30" customHeight="1">
      <x:c r="A21" s="26" t="str">
        <x:v>2. Responding to disorder and organizational lapses. F2-02 and M2-05. Related; different scope.</x:v>
      </x:c>
      <x:c r="B21" s="26"/>
      <x:c r="C21" s="26"/>
      <x:c r="D21" s="26"/>
      <x:c r="E21" s="26"/>
      <x:c r="F21" s="26"/>
      <x:c r="G21" s="26"/>
      <x:c r="H21" s="26"/>
      <x:c r="I21" s="26"/>
      <x:c r="J21" s="26"/>
      <x:c r="K21" s="26"/>
      <x:c r="L21" s="26"/>
      <x:c r="M21" s="26"/>
    </x:row>
    <x:row r="22" ht="87.75" customHeight="1">
      <x:c r="A22" s="36" t="str">
        <x:v>F2-02</x:v>
      </x:c>
      <x:c r="B22" s="37" t="str">
        <x:v>female</x:v>
      </x:c>
      <x:c r="C22" s="36" t="str">
        <x:v>Behavioral and emotional response to accumulated disorder</x:v>
      </x:c>
      <x:c r="D22" s="36" t="str">
        <x:v>Disorder triggers avoidance, demotivation, or distress</x:v>
      </x:c>
      <x:c r="E22" s="38" t="n">
        <x:v>-2</x:v>
      </x:c>
      <x:c r="F22" s="36" t="str">
        <x:v>It makes me feel a little bit disorganized in general
sometimes impacts how I feel and how ready I am to start tasks
I would like to be more organized or have a space that is more clean</x:v>
      </x:c>
      <x:c r="G22" s="36" t="str">
        <x:v>The participant describes clutter or disorganization causing them to avoid tasks or spaces, feel unmotivated, frustrated, embarrassed, or overwhelmed, or to postpone dealing with it indefinitely. Examples: avoiding studying or working in a messy room, feeling unable to start tasks until the mess is gone, only cleaning when guests are expected, expressing shame about the state of their space, or saying they 'keep meaning to organize' but never do.</x:v>
      </x:c>
      <x:c r="H22" s="39" t="n">
        <x:v>14</x:v>
      </x:c>
      <x:c r="I22" s="39" t="n">
        <x:v>39</x:v>
      </x:c>
      <x:c r="J22" s="40" t="str">
        <x:v>796</x:v>
      </x:c>
      <x:c r="K22" s="36" t="str">
        <x:v>Training</x:v>
      </x:c>
      <x:c r="L22" s="36" t="str">
        <x:v>Exact quotation; saved under the selected category.</x:v>
      </x:c>
      <x:c r="M22" s="36" t="str">
        <x:v>Substantive</x:v>
      </x:c>
    </x:row>
    <x:row r="23" ht="73.5" customHeight="1">
      <x:c r="A23" s="8" t="str">
        <x:v>F2-02</x:v>
      </x:c>
      <x:c r="B23" s="33" t="str">
        <x:v>female</x:v>
      </x:c>
      <x:c r="C23" s="8" t="str">
        <x:v>Behavioral and emotional response to accumulated disorder</x:v>
      </x:c>
      <x:c r="D23" s="8" t="str">
        <x:v>Disorder tolerated without task avoidance</x:v>
      </x:c>
      <x:c r="E23" s="34" t="n">
        <x:v>1</x:v>
      </x:c>
      <x:c r="F23" s="8" t="str">
        <x:v>looks like a mess and things are all over the place
I could tell you exactly where to find a paperclip
It may not work for some, if not most people</x:v>
      </x:c>
      <x:c r="G23" s="8" t="str">
        <x:v>The participant acknowledges clutter or mess but reports they can still function effectively around it without avoidance or strong negative emotional reactions. Examples: describing an 'organized mess' where they know exactly where things are, saying a messy desk does not stop them from working or studying, or expressing neutral acceptance like 'it looks messy but it works for me.'</x:v>
      </x:c>
      <x:c r="H23" s="22" t="n">
        <x:v>4</x:v>
      </x:c>
      <x:c r="I23" s="22" t="n">
        <x:v>32</x:v>
      </x:c>
      <x:c r="J23" s="35" t="str">
        <x:v>131</x:v>
      </x:c>
      <x:c r="K23" s="8" t="str">
        <x:v>Training</x:v>
      </x:c>
      <x:c r="L23" s="8" t="str">
        <x:v>Exact quotation; saved under the selected category.</x:v>
      </x:c>
      <x:c r="M23" s="8" t="str">
        <x:v>Substantive</x:v>
      </x:c>
    </x:row>
    <x:row r="24" ht="73.5" customHeight="1">
      <x:c r="A24" s="27" t="str">
        <x:v>F2-02</x:v>
      </x:c>
      <x:c r="B24" s="28" t="str">
        <x:v>female</x:v>
      </x:c>
      <x:c r="C24" s="27" t="str">
        <x:v>Behavioral and emotional response to accumulated disorder</x:v>
      </x:c>
      <x:c r="D24" s="27" t="str">
        <x:v>Disorder actively resolved when it accumulates</x:v>
      </x:c>
      <x:c r="E24" s="29" t="n">
        <x:v>2</x:v>
      </x:c>
      <x:c r="F24" s="27" t="str">
        <x:v>I decided I needed to make an effort to get organized
I started with a filing cabinet, organizing all of my important papers
designated specific places in the house for things like keys and mail</x:v>
      </x:c>
      <x:c r="G24" s="27" t="str">
        <x:v>The participant describes noticing accumulated disorder and taking timely action to clear or reorganize it, rather than letting it persist or avoiding it. Examples: filing a pile of papers once it starts to bother them, tidying up as soon as clutter builds rather than on a fixed schedule, or describing discomfort with mess that prompts immediate cleanup.</x:v>
      </x:c>
      <x:c r="H24" s="31" t="n">
        <x:v>4</x:v>
      </x:c>
      <x:c r="I24" s="31" t="n">
        <x:v>15</x:v>
      </x:c>
      <x:c r="J24" s="32" t="str">
        <x:v>347</x:v>
      </x:c>
      <x:c r="K24" s="27" t="str">
        <x:v>Training</x:v>
      </x:c>
      <x:c r="L24" s="27" t="str">
        <x:v>Exact quotation; saved under the selected category.</x:v>
      </x:c>
      <x:c r="M24" s="27" t="str">
        <x:v>Substantive</x:v>
      </x:c>
    </x:row>
    <x:row r="25" ht="73.5" customHeight="1">
      <x:c r="A25" s="8" t="str">
        <x:v>F2-02</x:v>
      </x:c>
      <x:c r="B25" s="33" t="str">
        <x:v>female</x:v>
      </x:c>
      <x:c r="C25" s="8" t="str">
        <x:v>Behavioral and emotional response to accumulated disorder</x:v>
      </x:c>
      <x:c r="D25" s="8" t="str">
        <x:v>Not applicable</x:v>
      </x:c>
      <x:c r="E25" s="34" t="n">
        <x:v>0</x:v>
      </x:c>
      <x:c r="F25" s="8" t="str">
        <x:v>keeping an organized and well maintained work space</x:v>
      </x:c>
      <x:c r="G25" s="8" t="str">
        <x:v>The interview does not describe any clutter, disorder, or accumulation of mess, so no response to disorder can be observed. This includes interviews focused entirely on other topics (e.g., work habits, punctuality, planning) or participants who report keeping spaces consistently tidy with no mention of disorder ever building up.</x:v>
      </x:c>
      <x:c r="H25" s="22" t="n">
        <x:v>67</x:v>
      </x:c>
      <x:c r="I25" s="22" t="n">
        <x:v>247</x:v>
      </x:c>
      <x:c r="J25" s="35" t="str">
        <x:v>694</x:v>
      </x:c>
      <x:c r="K25" s="8" t="str">
        <x:v>Training</x:v>
      </x:c>
      <x:c r="L25" s="8" t="str">
        <x:v>Exact quotation; saved under the selected category.</x:v>
      </x:c>
      <x:c r="M25" s="8" t="str">
        <x:v>Not applicable</x:v>
      </x:c>
    </x:row>
    <x:row r="26" ht="59.25" customHeight="1">
      <x:c r="A26" s="27" t="str">
        <x:v>F2-02</x:v>
      </x:c>
      <x:c r="B26" s="28" t="str">
        <x:v>female</x:v>
      </x:c>
      <x:c r="C26" s="27" t="str">
        <x:v>Behavioral and emotional response to accumulated disorder</x:v>
      </x:c>
      <x:c r="D26" s="27" t="str">
        <x:v>Uncertain</x:v>
      </x:c>
      <x:c r="E26" s="29" t="n">
        <x:v>0</x:v>
      </x:c>
      <x:c r="F26" s="27" t="str">
        <x:v>I sometimes struggle to keep up with how I want my enviornment to be organized</x:v>
      </x:c>
      <x:c r="G26" s="27" t="str">
        <x:v>The interview mentions disorder but gives unclear or mixed evidence about whether the participant avoids it, tolerates it, or resolves it. Examples: describing mess in passing without indicating any reaction to it, or giving contradictory statements about how clutter affects them.</x:v>
      </x:c>
      <x:c r="H26" s="31" t="n">
        <x:v>3</x:v>
      </x:c>
      <x:c r="I26" s="31" t="n">
        <x:v>35</x:v>
      </x:c>
      <x:c r="J26" s="32" t="str">
        <x:v>202</x:v>
      </x:c>
      <x:c r="K26" s="27" t="str">
        <x:v>Training</x:v>
      </x:c>
      <x:c r="L26" s="27" t="str">
        <x:v>Exact quotation; saved under the selected category.</x:v>
      </x:c>
      <x:c r="M26" s="27" t="str">
        <x:v>Uncertain</x:v>
      </x:c>
    </x:row>
    <x:row r="27" ht="58.5" customHeight="1">
      <x:c r="A27" s="8" t="str">
        <x:v>F2-02</x:v>
      </x:c>
      <x:c r="B27" s="33" t="str">
        <x:v>female</x:v>
      </x:c>
      <x:c r="C27" s="8" t="str">
        <x:v>Behavioral and emotional response to accumulated disorder</x:v>
      </x:c>
      <x:c r="D27" s="8" t="str">
        <x:v>[Invalid response: zero fallback]</x:v>
      </x:c>
      <x:c r="E27" s="34" t="n">
        <x:v>0</x:v>
      </x:c>
      <x:c r="F27" s="8" t="str"/>
      <x:c r="G27" s="8" t="str">
        <x:v>The completed rating failed validation or did not match a valid response category. The saved pipeline assigned a flagged zero. This is a processing fallback, not a generated category.</x:v>
      </x:c>
      <x:c r="H27" s="22" t="n">
        <x:v>0</x:v>
      </x:c>
      <x:c r="I27" s="22" t="n">
        <x:v>2</x:v>
      </x:c>
      <x:c r="J27" s="35" t="str"/>
      <x:c r="K27" s="8" t="str"/>
      <x:c r="L27" s="8" t="str">
        <x:v>No category quotation is assigned to invalid responses.</x:v>
      </x:c>
      <x:c r="M27" s="8" t="str">
        <x:v>Invalid fallback</x:v>
      </x:c>
    </x:row>
    <x:row r="28" ht="87.75" customHeight="1">
      <x:c r="A28" s="36" t="str">
        <x:v>M2-05</x:v>
      </x:c>
      <x:c r="B28" s="37" t="str">
        <x:v>male</x:v>
      </x:c>
      <x:c r="C28" s="36" t="str">
        <x:v>Handling of organizational lapses: prevention, recovery, or unresolved struggle</x:v>
      </x:c>
      <x:c r="D28" s="36" t="str">
        <x:v>Unresolved struggle despite repeated efforts</x:v>
      </x:c>
      <x:c r="E28" s="38" t="n">
        <x:v>-2</x:v>
      </x:c>
      <x:c r="F28" s="36" t="str">
        <x:v>I've tried various methods to improve my organization skills
it's something that I still struggle with
I get easily distracted and have a hard time staying focused</x:v>
      </x:c>
      <x:c r="G28" s="36" t="str">
        <x:v>Participant describes ongoing disorganization or forgetfulness that persists despite attempts to fix it, with no recovery or correction described. Examples: 'I've tried various methods to improve my organization skills, but it is something I still struggle with'; 'things slip through the cracks'; describing chronic rushing or mind-wandering that continues to interfere with work; repeated last-minute completion with no described remedy.</x:v>
      </x:c>
      <x:c r="H28" s="39" t="n">
        <x:v>2</x:v>
      </x:c>
      <x:c r="I28" s="39" t="n">
        <x:v>29</x:v>
      </x:c>
      <x:c r="J28" s="40" t="str">
        <x:v>58</x:v>
      </x:c>
      <x:c r="K28" s="36" t="str">
        <x:v>Training</x:v>
      </x:c>
      <x:c r="L28" s="36" t="str">
        <x:v>Exact quotation; saved under the selected category.</x:v>
      </x:c>
      <x:c r="M28" s="36" t="str">
        <x:v>Substantive</x:v>
      </x:c>
    </x:row>
    <x:row r="29" ht="87.75" customHeight="1">
      <x:c r="A29" s="8" t="str">
        <x:v>M2-05</x:v>
      </x:c>
      <x:c r="B29" s="33" t="str">
        <x:v>male</x:v>
      </x:c>
      <x:c r="C29" s="8" t="str">
        <x:v>Handling of organizational lapses: prevention, recovery, or unresolved struggle</x:v>
      </x:c>
      <x:c r="D29" s="8" t="str">
        <x:v>Lapse with lingering distress or external tolerance</x:v>
      </x:c>
      <x:c r="E29" s="34" t="n">
        <x:v>-1</x:v>
      </x:c>
      <x:c r="F29" s="8" t="str">
        <x:v>caught off guard by not having the information
which I find embarrassing and even shameful</x:v>
      </x:c>
      <x:c r="G29" s="8" t="str">
        <x:v>Participant describes specific incidents of forgetting, misplacing, or being unprepared whose consequences are felt as negative emotion or absorbed by others' acceptance, without describing any self-initiated fix. Examples: forgetting a headset or ID and feeling annoyed while the employer is 'OK with it'; being 'caught off guard' at work and finding it 'embarrassing and even shameful'; describing distraction that makes them fall behind with no recovery mechanism.</x:v>
      </x:c>
      <x:c r="H29" s="22" t="n">
        <x:v>7</x:v>
      </x:c>
      <x:c r="I29" s="22" t="n">
        <x:v>21</x:v>
      </x:c>
      <x:c r="J29" s="35" t="str">
        <x:v>795</x:v>
      </x:c>
      <x:c r="K29" s="8" t="str">
        <x:v>Training</x:v>
      </x:c>
      <x:c r="L29" s="8" t="str">
        <x:v>Exact quotation; saved under the selected category.</x:v>
      </x:c>
      <x:c r="M29" s="8" t="str">
        <x:v>Substantive</x:v>
      </x:c>
    </x:row>
    <x:row r="30" ht="87.75" customHeight="1">
      <x:c r="A30" s="27" t="str">
        <x:v>M2-05</x:v>
      </x:c>
      <x:c r="B30" s="28" t="str">
        <x:v>male</x:v>
      </x:c>
      <x:c r="C30" s="27" t="str">
        <x:v>Handling of organizational lapses: prevention, recovery, or unresolved struggle</x:v>
      </x:c>
      <x:c r="D30" s="27" t="str">
        <x:v>Acknowledged lapse with active recovery</x:v>
      </x:c>
      <x:c r="E30" s="29" t="n">
        <x:v>1</x:v>
      </x:c>
      <x:c r="F30" s="27" t="str">
        <x:v>last year I got sloppy with how I kept things organized
it took me many hours of wasted time trying to find it
so I didn't have to return the money</x:v>
      </x:c>
      <x:c r="G30" s="27" t="str">
        <x:v>Participant describes a concrete failure but centers the narrative on taking responsibility and correcting it, often at personal cost of time, effort, or money. Examples: losing a needed material and spending many hours searching so the customer did not have to be refunded; acknowledging a 'sloppy' period but describing how the situation was fixed; noting that distraction causes them to fall behind but that they 'generally have plenty of time to catch up' because of built-in buffer.</x:v>
      </x:c>
      <x:c r="H30" s="31" t="n">
        <x:v>5</x:v>
      </x:c>
      <x:c r="I30" s="31" t="n">
        <x:v>10</x:v>
      </x:c>
      <x:c r="J30" s="32" t="str">
        <x:v>840</x:v>
      </x:c>
      <x:c r="K30" s="27" t="str">
        <x:v>Training</x:v>
      </x:c>
      <x:c r="L30" s="27" t="str">
        <x:v>Exact quotation; saved under the selected category.</x:v>
      </x:c>
      <x:c r="M30" s="27" t="str">
        <x:v>Substantive</x:v>
      </x:c>
    </x:row>
    <x:row r="31" ht="87.75" customHeight="1">
      <x:c r="A31" s="8" t="str">
        <x:v>M2-05</x:v>
      </x:c>
      <x:c r="B31" s="33" t="str">
        <x:v>male</x:v>
      </x:c>
      <x:c r="C31" s="8" t="str">
        <x:v>Handling of organizational lapses: prevention, recovery, or unresolved struggle</x:v>
      </x:c>
      <x:c r="D31" s="8" t="str">
        <x:v>Preventive control precluding lapses</x:v>
      </x:c>
      <x:c r="E31" s="34" t="n">
        <x:v>2</x:v>
      </x:c>
      <x:c r="F31" s="8" t="str">
        <x:v>I make lists, I schedule my time
I know today what my tasks will be every day
I really keep to that schedule
I plan things out months in advance
am relied on by others to know where to go</x:v>
      </x:c>
      <x:c r="G31" s="8" t="str">
        <x:v>Participant describes maintaining organization so that failures do not occur, or describes no lapses while emphasizing vigilance and preparedness. Examples: 'I always know where I have my things'; 'keeping on top of every piece of data I have'; having a game plan and gathering materials before starting a task; laying out clothes and checking belongings the evening before so nothing is forgotten; staying on top of weekly deadlines 'without any trouble'.</x:v>
      </x:c>
      <x:c r="H31" s="22" t="n">
        <x:v>63</x:v>
      </x:c>
      <x:c r="I31" s="22" t="n">
        <x:v>247</x:v>
      </x:c>
      <x:c r="J31" s="35" t="str">
        <x:v>898</x:v>
      </x:c>
      <x:c r="K31" s="8" t="str">
        <x:v>Training</x:v>
      </x:c>
      <x:c r="L31" s="8" t="str">
        <x:v>Exact quotation; saved under the selected category.</x:v>
      </x:c>
      <x:c r="M31" s="8" t="str">
        <x:v>Substantive</x:v>
      </x:c>
    </x:row>
    <x:row r="32" ht="59.25" customHeight="1">
      <x:c r="A32" s="27" t="str">
        <x:v>M2-05</x:v>
      </x:c>
      <x:c r="B32" s="28" t="str">
        <x:v>male</x:v>
      </x:c>
      <x:c r="C32" s="27" t="str">
        <x:v>Handling of organizational lapses: prevention, recovery, or unresolved struggle</x:v>
      </x:c>
      <x:c r="D32" s="27" t="str">
        <x:v>Uncertain</x:v>
      </x:c>
      <x:c r="E32" s="29" t="n">
        <x:v>0</x:v>
      </x:c>
      <x:c r="F32" s="27" t="str">
        <x:v>As someone with ADHD I navigate organisational challenges differently
I try to utilise digital tools and reminders to stay on track
rely on my wife to give me little reminders</x:v>
      </x:c>
      <x:c r="G32" s="27" t="str">
        <x:v>The interview gives mixed or ambiguous evidence about how the participant handles organizational failures, such as describing both an unresolved struggle and an effective fix, or describing a lapse whose resolution is unclear.</x:v>
      </x:c>
      <x:c r="H32" s="31" t="n">
        <x:v>3</x:v>
      </x:c>
      <x:c r="I32" s="31" t="n">
        <x:v>18</x:v>
      </x:c>
      <x:c r="J32" s="32" t="str">
        <x:v>125</x:v>
      </x:c>
      <x:c r="K32" s="27" t="str">
        <x:v>Holdout</x:v>
      </x:c>
      <x:c r="L32" s="27" t="str">
        <x:v>Exact quotation; saved under the selected category.</x:v>
      </x:c>
      <x:c r="M32" s="27" t="str">
        <x:v>Uncertain</x:v>
      </x:c>
    </x:row>
    <x:row r="33" ht="59.25" customHeight="1">
      <x:c r="A33" s="8" t="str">
        <x:v>M2-05</x:v>
      </x:c>
      <x:c r="B33" s="33" t="str">
        <x:v>male</x:v>
      </x:c>
      <x:c r="C33" s="8" t="str">
        <x:v>Handling of organizational lapses: prevention, recovery, or unresolved struggle</x:v>
      </x:c>
      <x:c r="D33" s="8" t="str">
        <x:v>Not applicable</x:v>
      </x:c>
      <x:c r="E33" s="34" t="n">
        <x:v>0</x:v>
      </x:c>
      <x:c r="F33" s="8" t="str">
        <x:v>An organized person is likely to excel in managing their time efficiently
Organized individuals have a knack for identifing and prioritizing tasks</x:v>
      </x:c>
      <x:c r="G33" s="8" t="str">
        <x:v>The interview does not mention any organizational failures, struggles, near-failures, or preventive practices, so there is no relevant evidence to judge this behavior (e.g., only general opinions about what organized people do).</x:v>
      </x:c>
      <x:c r="H33" s="22" t="n">
        <x:v>6</x:v>
      </x:c>
      <x:c r="I33" s="22" t="n">
        <x:v>19</x:v>
      </x:c>
      <x:c r="J33" s="35" t="str">
        <x:v>250</x:v>
      </x:c>
      <x:c r="K33" s="8" t="str">
        <x:v>Training</x:v>
      </x:c>
      <x:c r="L33" s="8" t="str">
        <x:v>Exact quotation; saved under the selected category.</x:v>
      </x:c>
      <x:c r="M33" s="8" t="str">
        <x:v>Not applicable</x:v>
      </x:c>
    </x:row>
    <x:row r="34" ht="58.5" customHeight="1">
      <x:c r="A34" s="27" t="str">
        <x:v>M2-05</x:v>
      </x:c>
      <x:c r="B34" s="28" t="str">
        <x:v>male</x:v>
      </x:c>
      <x:c r="C34" s="27" t="str">
        <x:v>Handling of organizational lapses: prevention, recovery, or unresolved struggle</x:v>
      </x:c>
      <x:c r="D34" s="27" t="str">
        <x:v>[Invalid response: zero fallback]</x:v>
      </x:c>
      <x:c r="E34" s="29" t="n">
        <x:v>0</x:v>
      </x:c>
      <x:c r="F34" s="27" t="str"/>
      <x:c r="G34" s="27" t="str">
        <x:v>The completed rating failed validation or did not match a valid response category. The saved pipeline assigned a flagged zero. This is a processing fallback, not a generated category.</x:v>
      </x:c>
      <x:c r="H34" s="31" t="n">
        <x:v>0</x:v>
      </x:c>
      <x:c r="I34" s="31" t="n">
        <x:v>1</x:v>
      </x:c>
      <x:c r="J34" s="32" t="str"/>
      <x:c r="K34" s="27" t="str"/>
      <x:c r="L34" s="27" t="str">
        <x:v>No category quotation is assigned to invalid responses.</x:v>
      </x:c>
      <x:c r="M34" s="27" t="str">
        <x:v>Invalid fallback</x:v>
      </x:c>
    </x:row>
    <x:row r="35" ht="30" customHeight="1">
      <x:c r="A35" s="26" t="str">
        <x:v>3. Natural disposition versus corrective effort. F2-03 and M2-04. Related; different emphasis.</x:v>
      </x:c>
      <x:c r="B35" s="26"/>
      <x:c r="C35" s="26"/>
      <x:c r="D35" s="26"/>
      <x:c r="E35" s="26"/>
      <x:c r="F35" s="26"/>
      <x:c r="G35" s="26"/>
      <x:c r="H35" s="26"/>
      <x:c r="I35" s="26"/>
      <x:c r="J35" s="26"/>
      <x:c r="K35" s="26"/>
      <x:c r="L35" s="26"/>
      <x:c r="M35" s="26"/>
    </x:row>
    <x:row r="36" ht="73.5" customHeight="1">
      <x:c r="A36" s="36" t="str">
        <x:v>F2-03</x:v>
      </x:c>
      <x:c r="B36" s="37" t="str">
        <x:v>female</x:v>
      </x:c>
      <x:c r="C36" s="36" t="str">
        <x:v>Framing of organization as natural disposition or enjoyment versus effortful compensation for acknowledged deficits</x:v>
      </x:c>
      <x:c r="D36" s="36" t="str">
        <x:v>Organization as valued identity or source of enjoyment and pride</x:v>
      </x:c>
      <x:c r="E36" s="38" t="n">
        <x:v>3</x:v>
      </x:c>
      <x:c r="F36" s="36" t="str">
        <x:v>I am very organized and I generally enjoy organization
I like things put away where they are supposed to go
I think this makes me a good employee</x:v>
      </x:c>
      <x:c r="G36" s="36" t="str">
        <x:v>The participant describes organization as central to their identity, a source of pride, enjoyment, or accomplishment. Examples: turning organizational skills into a business or career success, saying organization 'makes me happy', expressing strong positive emotion about being organized, or characterizing organization as fundamental to who they are.</x:v>
      </x:c>
      <x:c r="H36" s="39" t="n">
        <x:v>17</x:v>
      </x:c>
      <x:c r="I36" s="39" t="n">
        <x:v>74</x:v>
      </x:c>
      <x:c r="J36" s="40" t="str">
        <x:v>63</x:v>
      </x:c>
      <x:c r="K36" s="36" t="str">
        <x:v>Training</x:v>
      </x:c>
      <x:c r="L36" s="36" t="str">
        <x:v>Exact quotation; saved under the selected category.</x:v>
      </x:c>
      <x:c r="M36" s="36" t="str">
        <x:v>Substantive</x:v>
      </x:c>
    </x:row>
    <x:row r="37" ht="73.5" customHeight="1">
      <x:c r="A37" s="8" t="str">
        <x:v>F2-03</x:v>
      </x:c>
      <x:c r="B37" s="33" t="str">
        <x:v>female</x:v>
      </x:c>
      <x:c r="C37" s="8" t="str">
        <x:v>Framing of organization as natural disposition or enjoyment versus effortful compensation for acknowledged deficits</x:v>
      </x:c>
      <x:c r="D37" s="8" t="str">
        <x:v>Organization as stable natural practice described neutrally</x:v>
      </x:c>
      <x:c r="E37" s="34" t="n">
        <x:v>2</x:v>
      </x:c>
      <x:c r="F37" s="8" t="str">
        <x:v>I always make a plan for anything I do
I usually make a list with everyone involved
This process worked very well.</x:v>
      </x:c>
      <x:c r="G37" s="8" t="str">
        <x:v>The participant describes their organization matter-of-factly as something they simply do and keep up with, without hedging, deficit language, or strong emotional investment. Examples: 'I follow a strict routine', 'I keep my desk tidy', or describing a planning process that 'worked very well' without mentioning struggle, forgetfulness, or effortful self-improvement.</x:v>
      </x:c>
      <x:c r="H37" s="22" t="n">
        <x:v>43</x:v>
      </x:c>
      <x:c r="I37" s="22" t="n">
        <x:v>161</x:v>
      </x:c>
      <x:c r="J37" s="35" t="str">
        <x:v>807</x:v>
      </x:c>
      <x:c r="K37" s="8" t="str">
        <x:v>Training</x:v>
      </x:c>
      <x:c r="L37" s="8" t="str">
        <x:v>Exact quotation; saved under the selected category.</x:v>
      </x:c>
      <x:c r="M37" s="8" t="str">
        <x:v>Substantive</x:v>
      </x:c>
    </x:row>
    <x:row r="38" ht="102" customHeight="1">
      <x:c r="A38" s="27" t="str">
        <x:v>F2-03</x:v>
      </x:c>
      <x:c r="B38" s="28" t="str">
        <x:v>female</x:v>
      </x:c>
      <x:c r="C38" s="27" t="str">
        <x:v>Framing of organization as natural disposition or enjoyment versus effortful compensation for acknowledged deficits</x:v>
      </x:c>
      <x:c r="D38" s="27" t="str">
        <x:v>Organization as effortful compensation for self-acknowledged deficits</x:v>
      </x:c>
      <x:c r="E38" s="29" t="n">
        <x:v>1</x:v>
      </x:c>
      <x:c r="F38" s="27" t="str">
        <x:v>Although I have ADHD, I actually think I am really organized
even though I am super forgetful, I have a system
physical planner and various alarms and reminders
so that my brain doesn't get overwhelmed with other tasks</x:v>
      </x:c>
      <x:c r="G38" s="27" t="str">
        <x:v>The participant explicitly attributes their organizational systems to counteracting personal weaknesses such as forgetfulness, ADHD, a past history of disorganization, or ongoing struggle. Examples: using calendars and lists 'because I tend to forget things', describing oneself as 'super forgetful' with a system that compensates, recounting a past disorganized self that required deliberate effort to change, or saying organizational skills 'need work even to this day'. Includes hedged or qualified self-assessments like 'I'm not really sure how organized I am' or 'semi-organized' paired with acknowledged shortcomings.</x:v>
      </x:c>
      <x:c r="H38" s="31" t="n">
        <x:v>28</x:v>
      </x:c>
      <x:c r="I38" s="31" t="n">
        <x:v>96</x:v>
      </x:c>
      <x:c r="J38" s="32" t="str">
        <x:v>370</x:v>
      </x:c>
      <x:c r="K38" s="27" t="str">
        <x:v>Training</x:v>
      </x:c>
      <x:c r="L38" s="27" t="str">
        <x:v>Exact quotation; saved under the selected category.</x:v>
      </x:c>
      <x:c r="M38" s="27" t="str">
        <x:v>Substantive</x:v>
      </x:c>
    </x:row>
    <x:row r="39" ht="59.25" customHeight="1">
      <x:c r="A39" s="8" t="str">
        <x:v>F2-03</x:v>
      </x:c>
      <x:c r="B39" s="33" t="str">
        <x:v>female</x:v>
      </x:c>
      <x:c r="C39" s="8" t="str">
        <x:v>Framing of organization as natural disposition or enjoyment versus effortful compensation for acknowledged deficits</x:v>
      </x:c>
      <x:c r="D39" s="8" t="str">
        <x:v>Uncertain</x:v>
      </x:c>
      <x:c r="E39" s="34" t="n">
        <x:v>0</x:v>
      </x:c>
      <x:c r="F39" s="8" t="str">
        <x:v>organized chaos
It may not work for some, if not most people</x:v>
      </x:c>
      <x:c r="G39" s="8" t="str">
        <x:v>The interview provides unclear or mixed evidence about how the participant frames their organization, or describes organization only in passing without indicating its origin, motivation, or relation to their self-concept.</x:v>
      </x:c>
      <x:c r="H39" s="22" t="n">
        <x:v>4</x:v>
      </x:c>
      <x:c r="I39" s="22" t="n">
        <x:v>39</x:v>
      </x:c>
      <x:c r="J39" s="35" t="str">
        <x:v>131</x:v>
      </x:c>
      <x:c r="K39" s="8" t="str">
        <x:v>Training</x:v>
      </x:c>
      <x:c r="L39" s="8" t="str">
        <x:v>Exact quotation; saved under the selected category.</x:v>
      </x:c>
      <x:c r="M39" s="8" t="str">
        <x:v>Uncertain</x:v>
      </x:c>
    </x:row>
    <x:row r="40" ht="59.25" customHeight="1">
      <x:c r="A40" s="27" t="str">
        <x:v>F2-03</x:v>
      </x:c>
      <x:c r="B40" s="28" t="str">
        <x:v>female</x:v>
      </x:c>
      <x:c r="C40" s="27" t="str">
        <x:v>Framing of organization as natural disposition or enjoyment versus effortful compensation for acknowledged deficits</x:v>
      </x:c>
      <x:c r="D40" s="27" t="str">
        <x:v>[Invalid response: zero fallback]</x:v>
      </x:c>
      <x:c r="E40" s="29" t="n">
        <x:v>0</x:v>
      </x:c>
      <x:c r="F40" s="27" t="str"/>
      <x:c r="G40" s="27" t="str">
        <x:v>The completed rating failed validation or did not match a valid response category. The saved pipeline assigned a flagged zero. This is a processing fallback, not a generated category.</x:v>
      </x:c>
      <x:c r="H40" s="31" t="n">
        <x:v>0</x:v>
      </x:c>
      <x:c r="I40" s="31" t="n">
        <x:v>0</x:v>
      </x:c>
      <x:c r="J40" s="32" t="str"/>
      <x:c r="K40" s="27" t="str"/>
      <x:c r="L40" s="27" t="str">
        <x:v>No category quotation is assigned to invalid responses.</x:v>
      </x:c>
      <x:c r="M40" s="27" t="str">
        <x:v>Invalid fallback</x:v>
      </x:c>
    </x:row>
    <x:row r="41" ht="87.75" customHeight="1">
      <x:c r="A41" s="36" t="str">
        <x:v>M2-04</x:v>
      </x:c>
      <x:c r="B41" s="37" t="str">
        <x:v>male</x:v>
      </x:c>
      <x:c r="C41" s="36" t="str">
        <x:v>Temporal stability versus improvement narrative in organization self-description</x:v>
      </x:c>
      <x:c r="D41" s="36" t="str">
        <x:v>Past disorganization with improvement narrative</x:v>
      </x:c>
      <x:c r="E41" s="38" t="n">
        <x:v>-2</x:v>
      </x:c>
      <x:c r="F41" s="36" t="str">
        <x:v>I used to be late for work or disorganized
simply by being ready the night before it can save you
I stopped being late nearly as much
I started waking up earlier as well to help with organization</x:v>
      </x:c>
      <x:c r="G41" s="36" t="str">
        <x:v>Participant explicitly describes earlier disorganization, lateness, or failure that they subsequently corrected or are still working to correct. Examples: 'As someone who was disorganized during my academic career... after I graduated I began to organize my life'; 'I used to be late for work or disorganized and simply by being ready the night before... I stopped being late nearly as much'; describing past academic disadvantage or chronic lateness followed by deliberate adoption of new routines.</x:v>
      </x:c>
      <x:c r="H41" s="39" t="n">
        <x:v>8</x:v>
      </x:c>
      <x:c r="I41" s="39" t="n">
        <x:v>29</x:v>
      </x:c>
      <x:c r="J41" s="40" t="str">
        <x:v>112</x:v>
      </x:c>
      <x:c r="K41" s="36" t="str">
        <x:v>Training</x:v>
      </x:c>
      <x:c r="L41" s="36" t="str">
        <x:v>Exact quotation; saved under the selected category.</x:v>
      </x:c>
      <x:c r="M41" s="36" t="str">
        <x:v>Substantive</x:v>
      </x:c>
    </x:row>
    <x:row r="42" ht="87.75" customHeight="1">
      <x:c r="A42" s="8" t="str">
        <x:v>M2-04</x:v>
      </x:c>
      <x:c r="B42" s="33" t="str">
        <x:v>male</x:v>
      </x:c>
      <x:c r="C42" s="8" t="str">
        <x:v>Temporal stability versus improvement narrative in organization self-description</x:v>
      </x:c>
      <x:c r="D42" s="8" t="str">
        <x:v>External origin or necessity attribution</x:v>
      </x:c>
      <x:c r="E42" s="34" t="n">
        <x:v>-1</x:v>
      </x:c>
      <x:c r="F42" s="8" t="str">
        <x:v>my mu had minor OCD when i was growing up
everything was always clean and ready
growing up around that has made me really organised and tidy</x:v>
      </x:c>
      <x:c r="G42" s="8" t="str">
        <x:v>Participant explains their organization primarily as the product of outside influences or demands rather than their own disposition, without framing it as overcoming past failure. Examples: crediting a parent's compulsive cleanliness ('my mum had minor OCD... growing up around that has made me really organised'); saying work or career 'made it necessary' for them to be organized; attributing order to circumstances, other people, or role requirements.</x:v>
      </x:c>
      <x:c r="H42" s="22" t="n">
        <x:v>6</x:v>
      </x:c>
      <x:c r="I42" s="22" t="n">
        <x:v>37</x:v>
      </x:c>
      <x:c r="J42" s="35" t="str">
        <x:v>690</x:v>
      </x:c>
      <x:c r="K42" s="8" t="str">
        <x:v>Training</x:v>
      </x:c>
      <x:c r="L42" s="8" t="str">
        <x:v>Exact quotation; saved under the selected category.</x:v>
      </x:c>
      <x:c r="M42" s="8" t="str">
        <x:v>Substantive</x:v>
      </x:c>
    </x:row>
    <x:row r="43" ht="59.25" customHeight="1">
      <x:c r="A43" s="27" t="str">
        <x:v>M2-04</x:v>
      </x:c>
      <x:c r="B43" s="28" t="str">
        <x:v>male</x:v>
      </x:c>
      <x:c r="C43" s="27" t="str">
        <x:v>Temporal stability versus improvement narrative in organization self-description</x:v>
      </x:c>
      <x:c r="D43" s="27" t="str">
        <x:v>Uncertain</x:v>
      </x:c>
      <x:c r="E43" s="29" t="n">
        <x:v>0</x:v>
      </x:c>
      <x:c r="F43" s="27" t="str">
        <x:v>I don't feel that I'm organized
Perhaps my mind is organized
It could be that I just don't have that much to do</x:v>
      </x:c>
      <x:c r="G43" s="27" t="str">
        <x:v>The interview gives mixed or ambiguous evidence about the temporal or causal framing, such as statements that could indicate either a stable disposition or a recent change, or too little information about when and how the organization developed to judge.</x:v>
      </x:c>
      <x:c r="H43" s="31" t="n">
        <x:v>5</x:v>
      </x:c>
      <x:c r="I43" s="31" t="n">
        <x:v>27</x:v>
      </x:c>
      <x:c r="J43" s="32" t="str">
        <x:v>548</x:v>
      </x:c>
      <x:c r="K43" s="27" t="str">
        <x:v>Training</x:v>
      </x:c>
      <x:c r="L43" s="27" t="str">
        <x:v>Exact quotation; saved under the selected category.</x:v>
      </x:c>
      <x:c r="M43" s="27" t="str">
        <x:v>Uncertain</x:v>
      </x:c>
    </x:row>
    <x:row r="44" ht="87.75" customHeight="1">
      <x:c r="A44" s="8" t="str">
        <x:v>M2-04</x:v>
      </x:c>
      <x:c r="B44" s="33" t="str">
        <x:v>male</x:v>
      </x:c>
      <x:c r="C44" s="8" t="str">
        <x:v>Temporal stability versus improvement narrative in organization self-description</x:v>
      </x:c>
      <x:c r="D44" s="8" t="str">
        <x:v>Current habits without temporal framing</x:v>
      </x:c>
      <x:c r="E44" s="34" t="n">
        <x:v>1</x:v>
      </x:c>
      <x:c r="F44" s="8" t="str">
        <x:v>I create a detailed plan outlining my tasks
I'll schedule specific times for different construction phase
material management, this would help ensure a smooth workflow</x:v>
      </x:c>
      <x:c r="G44" s="8" t="str">
        <x:v>Participant describes their organizational practices as present-state habits or methods without referencing past disorganization, improvement, upbringing, or external demands, and without asserting a lifelong trait. Examples: describing how they plan projects by due date starting with the soonest; explaining their use of a task app with deadlines and evening inbox sorting; outlining tasks, milestones, and objectives they check off; scheduling construction phases and material management.</x:v>
      </x:c>
      <x:c r="H44" s="22" t="n">
        <x:v>36</x:v>
      </x:c>
      <x:c r="I44" s="22" t="n">
        <x:v>157</x:v>
      </x:c>
      <x:c r="J44" s="35" t="str">
        <x:v>361</x:v>
      </x:c>
      <x:c r="K44" s="8" t="str">
        <x:v>Training</x:v>
      </x:c>
      <x:c r="L44" s="8" t="str">
        <x:v>Exact quotation; saved under the selected category.</x:v>
      </x:c>
      <x:c r="M44" s="8" t="str">
        <x:v>Substantive</x:v>
      </x:c>
    </x:row>
    <x:row r="45" ht="116.25" customHeight="1">
      <x:c r="A45" s="27" t="str">
        <x:v>M2-04</x:v>
      </x:c>
      <x:c r="B45" s="28" t="str">
        <x:v>male</x:v>
      </x:c>
      <x:c r="C45" s="27" t="str">
        <x:v>Temporal stability versus improvement narrative in organization self-description</x:v>
      </x:c>
      <x:c r="D45" s="27" t="str">
        <x:v>Enduring self-attributed disposition</x:v>
      </x:c>
      <x:c r="E45" s="29" t="n">
        <x:v>2</x:v>
      </x:c>
      <x:c r="F45" s="27" t="str">
        <x:v>I am a very organized person
Right from my days as a young boy
this principle has shaped my principles over the years
my room was always clean
people often saw me as being 'iron-disciplined'
I held strictly to my routines
This principle has shaped my company culture up till now</x:v>
      </x:c>
      <x:c r="G45" s="27" t="str">
        <x:v>Participant asserts organization as a stable, self-owned trait they have consistently held, often with absolute language and no reference to past struggle or external cause. Examples: 'I'm a very well organized individual' credited for self-confidence; 'I always know where I have my things... being very organized is very important to me'; 'I tend to be a very organized person overall'; framing discipline and order as core personality characteristics built over time and expressed across life domains.</x:v>
      </x:c>
      <x:c r="H45" s="31" t="n">
        <x:v>31</x:v>
      </x:c>
      <x:c r="I45" s="31" t="n">
        <x:v>93</x:v>
      </x:c>
      <x:c r="J45" s="32" t="str">
        <x:v>355</x:v>
      </x:c>
      <x:c r="K45" s="27" t="str">
        <x:v>Training</x:v>
      </x:c>
      <x:c r="L45" s="27" t="str">
        <x:v>Exact quotation; saved under the selected category.</x:v>
      </x:c>
      <x:c r="M45" s="27" t="str">
        <x:v>Substantive</x:v>
      </x:c>
    </x:row>
    <x:row r="46" ht="58.5" customHeight="1">
      <x:c r="A46" s="8" t="str">
        <x:v>M2-04</x:v>
      </x:c>
      <x:c r="B46" s="33" t="str">
        <x:v>male</x:v>
      </x:c>
      <x:c r="C46" s="8" t="str">
        <x:v>Temporal stability versus improvement narrative in organization self-description</x:v>
      </x:c>
      <x:c r="D46" s="8" t="str">
        <x:v>[Invalid response: zero fallback]</x:v>
      </x:c>
      <x:c r="E46" s="34" t="n">
        <x:v>0</x:v>
      </x:c>
      <x:c r="F46" s="8" t="str"/>
      <x:c r="G46" s="8" t="str">
        <x:v>The completed rating failed validation or did not match a valid response category. The saved pipeline assigned a flagged zero. This is a processing fallback, not a generated category.</x:v>
      </x:c>
      <x:c r="H46" s="22" t="n">
        <x:v>0</x:v>
      </x:c>
      <x:c r="I46" s="22" t="n">
        <x:v>2</x:v>
      </x:c>
      <x:c r="J46" s="35" t="str"/>
      <x:c r="K46" s="8" t="str"/>
      <x:c r="L46" s="8" t="str">
        <x:v>No category quotation is assigned to invalid responses.</x:v>
      </x:c>
      <x:c r="M46" s="8" t="str">
        <x:v>Invalid fallback</x:v>
      </x:c>
    </x:row>
    <x:row r="47" ht="30" customHeight="1">
      <x:c r="A47" s="26" t="str">
        <x:v>4. Unqualified versus bounded organization claims. F2-05 and M2-10. Related; different emphasis.</x:v>
      </x:c>
      <x:c r="B47" s="26"/>
      <x:c r="C47" s="26"/>
      <x:c r="D47" s="26"/>
      <x:c r="E47" s="26"/>
      <x:c r="F47" s="26"/>
      <x:c r="G47" s="26"/>
      <x:c r="H47" s="26"/>
      <x:c r="I47" s="26"/>
      <x:c r="J47" s="26"/>
      <x:c r="K47" s="26"/>
      <x:c r="L47" s="26"/>
      <x:c r="M47" s="26"/>
    </x:row>
    <x:row r="48" ht="73.5" customHeight="1">
      <x:c r="A48" s="36" t="str">
        <x:v>F2-05</x:v>
      </x:c>
      <x:c r="B48" s="37" t="str">
        <x:v>female</x:v>
      </x:c>
      <x:c r="C48" s="36" t="str">
        <x:v>Absolutism versus hedging in stated organizational standards</x:v>
      </x:c>
      <x:c r="D48" s="36" t="str">
        <x:v>Uncompromising absolute standards</x:v>
      </x:c>
      <x:c r="E48" s="38" t="n">
        <x:v>3</x:v>
      </x:c>
      <x:c r="F48" s="36" t="str">
        <x:v>so organized to the point if something is not in its right place it irritates me
I have to fix it before doing anything else
things must be tidy, in order and highly organized</x:v>
      </x:c>
      <x:c r="G48" s="36" t="str">
        <x:v>The participant states organizational rules in absolute, non-negotiable terms. Examples: 'everything has a place and must be labeled', 'if you don't have a place for something then you don't need that item', 'I hate disorder almost to a ridiculous level', 'clutter is chaotic for me', 'I have to fix it before doing anything else', or describing oneself as a 'neat freak' or 'so organized it's scary' without qualification.</x:v>
      </x:c>
      <x:c r="H48" s="39" t="n">
        <x:v>14</x:v>
      </x:c>
      <x:c r="I48" s="39" t="n">
        <x:v>51</x:v>
      </x:c>
      <x:c r="J48" s="40" t="str">
        <x:v>831</x:v>
      </x:c>
      <x:c r="K48" s="36" t="str">
        <x:v>Training</x:v>
      </x:c>
      <x:c r="L48" s="36" t="str">
        <x:v>Exact quotation; saved under the selected category.</x:v>
      </x:c>
      <x:c r="M48" s="36" t="str">
        <x:v>Substantive</x:v>
      </x:c>
    </x:row>
    <x:row r="49" ht="87.75" customHeight="1">
      <x:c r="A49" s="8" t="str">
        <x:v>F2-05</x:v>
      </x:c>
      <x:c r="B49" s="33" t="str">
        <x:v>female</x:v>
      </x:c>
      <x:c r="C49" s="8" t="str">
        <x:v>Absolutism versus hedging in stated organizational standards</x:v>
      </x:c>
      <x:c r="D49" s="8" t="str">
        <x:v>Strong but bounded endorsement</x:v>
      </x:c>
      <x:c r="E49" s="34" t="n">
        <x:v>2</x:v>
      </x:c>
      <x:c r="F49" s="8" t="str">
        <x:v>I am a very organized person
I value structure and routine
sometimes I do get distracted
focusing more on the plan than the actual work</x:v>
      </x:c>
      <x:c r="G49" s="8" t="str">
        <x:v>The participant clearly endorses being organized ('very organized', 'organised and have always been') but the statement is bounded by practicality, acknowledged limits, or minor imperfections. Examples: 'very organized, but in a practical way', 'I value structure and routine although sometimes I get distracted', 'I am very organized and generally enjoy organization', or describing organization as one strength among others rather than a non-negotiable rule.</x:v>
      </x:c>
      <x:c r="H49" s="22" t="n">
        <x:v>40</x:v>
      </x:c>
      <x:c r="I49" s="22" t="n">
        <x:v>118</x:v>
      </x:c>
      <x:c r="J49" s="35" t="str">
        <x:v>892</x:v>
      </x:c>
      <x:c r="K49" s="8" t="str">
        <x:v>Training</x:v>
      </x:c>
      <x:c r="L49" s="8" t="str">
        <x:v>Exact quotation; saved under the selected category.</x:v>
      </x:c>
      <x:c r="M49" s="8" t="str">
        <x:v>Substantive</x:v>
      </x:c>
    </x:row>
    <x:row r="50" ht="73.5" customHeight="1">
      <x:c r="A50" s="27" t="str">
        <x:v>F2-05</x:v>
      </x:c>
      <x:c r="B50" s="28" t="str">
        <x:v>female</x:v>
      </x:c>
      <x:c r="C50" s="27" t="str">
        <x:v>Absolutism versus hedging in stated organizational standards</x:v>
      </x:c>
      <x:c r="D50" s="27" t="str">
        <x:v>Hedged or scaled-down self-assessment</x:v>
      </x:c>
      <x:c r="E50" s="29" t="n">
        <x:v>1</x:v>
      </x:c>
      <x:c r="F50" s="27" t="str">
        <x:v>I'm pretty well organized - not obsessive about it
don't spend too much time</x:v>
      </x:c>
      <x:c r="G50" s="27" t="str">
        <x:v>The participant qualifies or minimizes their organizational claim. Examples: 'pretty organized', 'pretty well organized - not obsessive about it and don't spend too much time', 'organized enough to structure my day', 'fairly organized', or explicitly dismissing more intense organization as unnecessary ('those planners are so dumb', 'I don't have too many materials to keep track of').</x:v>
      </x:c>
      <x:c r="H50" s="31" t="n">
        <x:v>33</x:v>
      </x:c>
      <x:c r="I50" s="31" t="n">
        <x:v>176</x:v>
      </x:c>
      <x:c r="J50" s="32" t="str">
        <x:v>626</x:v>
      </x:c>
      <x:c r="K50" s="27" t="str">
        <x:v>Training</x:v>
      </x:c>
      <x:c r="L50" s="27" t="str">
        <x:v>Exact quotation; saved under the selected category.</x:v>
      </x:c>
      <x:c r="M50" s="27" t="str">
        <x:v>Substantive</x:v>
      </x:c>
    </x:row>
    <x:row r="51" ht="59.25" customHeight="1">
      <x:c r="A51" s="8" t="str">
        <x:v>F2-05</x:v>
      </x:c>
      <x:c r="B51" s="33" t="str">
        <x:v>female</x:v>
      </x:c>
      <x:c r="C51" s="8" t="str">
        <x:v>Absolutism versus hedging in stated organizational standards</x:v>
      </x:c>
      <x:c r="D51" s="8" t="str">
        <x:v>Uncertain</x:v>
      </x:c>
      <x:c r="E51" s="34" t="n">
        <x:v>0</x:v>
      </x:c>
      <x:c r="F51" s="8" t="str">
        <x:v>I was disorganized and losing necessary items so frequently
I decided I needed to make an effort to get organized
I designated specific places in the house for things like keys and mail</x:v>
      </x:c>
      <x:c r="G51" s="8" t="str">
        <x:v>The interview provides no clear self-assessment of the participant's organizational standards, or gives mixed evidence with both absolute and hedged statements that cannot be resolved.</x:v>
      </x:c>
      <x:c r="H51" s="22" t="n">
        <x:v>5</x:v>
      </x:c>
      <x:c r="I51" s="22" t="n">
        <x:v>23</x:v>
      </x:c>
      <x:c r="J51" s="35" t="str">
        <x:v>347</x:v>
      </x:c>
      <x:c r="K51" s="8" t="str">
        <x:v>Training</x:v>
      </x:c>
      <x:c r="L51" s="8" t="str">
        <x:v>Exact quotation; saved under the selected category.</x:v>
      </x:c>
      <x:c r="M51" s="8" t="str">
        <x:v>Uncertain</x:v>
      </x:c>
    </x:row>
    <x:row r="52" ht="58.5" customHeight="1">
      <x:c r="A52" s="27" t="str">
        <x:v>F2-05</x:v>
      </x:c>
      <x:c r="B52" s="28" t="str">
        <x:v>female</x:v>
      </x:c>
      <x:c r="C52" s="27" t="str">
        <x:v>Absolutism versus hedging in stated organizational standards</x:v>
      </x:c>
      <x:c r="D52" s="27" t="str">
        <x:v>[Invalid response: zero fallback]</x:v>
      </x:c>
      <x:c r="E52" s="29" t="n">
        <x:v>0</x:v>
      </x:c>
      <x:c r="F52" s="27" t="str"/>
      <x:c r="G52" s="27" t="str">
        <x:v>The completed rating failed validation or did not match a valid response category. The saved pipeline assigned a flagged zero. This is a processing fallback, not a generated category.</x:v>
      </x:c>
      <x:c r="H52" s="31" t="n">
        <x:v>0</x:v>
      </x:c>
      <x:c r="I52" s="31" t="n">
        <x:v>2</x:v>
      </x:c>
      <x:c r="J52" s="32" t="str"/>
      <x:c r="K52" s="27" t="str"/>
      <x:c r="L52" s="27" t="str">
        <x:v>No category quotation is assigned to invalid responses.</x:v>
      </x:c>
      <x:c r="M52" s="27" t="str">
        <x:v>Invalid fallback</x:v>
      </x:c>
    </x:row>
    <x:row r="53" ht="102" customHeight="1">
      <x:c r="A53" s="36" t="str">
        <x:v>M2-10</x:v>
      </x:c>
      <x:c r="B53" s="37" t="str">
        <x:v>male</x:v>
      </x:c>
      <x:c r="C53" s="36" t="str">
        <x:v>Scope and totality of the organizational self-claim</x:v>
      </x:c>
      <x:c r="D53" s="36" t="str">
        <x:v>Hedged or conditional self-claim</x:v>
      </x:c>
      <x:c r="E53" s="38" t="n">
        <x:v>-2</x:v>
      </x:c>
      <x:c r="F53" s="36" t="str">
        <x:v>Organization comes rather easy to me
I don't know if it impacted my behavior per say</x:v>
      </x:c>
      <x:c r="G53" s="36" t="str">
        <x:v>The participant's claim about their own organization is qualified, approximate, or conditional, either in strength or in time. Examples: 'I am usually pretty organized, but last year I got sloppy'; 'I am a fairly organized individual'; 'organization comes rather easy to me... I don't know if it impacted my behavior per se'; 'I am a kind of person who is really organized' framed as aspiration; organization described as something they 'try' to maintain, that depends on mood or necessity, or that was only recently achieved after past disorganization.</x:v>
      </x:c>
      <x:c r="H53" s="39" t="n">
        <x:v>27</x:v>
      </x:c>
      <x:c r="I53" s="39" t="n">
        <x:v>122</x:v>
      </x:c>
      <x:c r="J53" s="40" t="str">
        <x:v>835</x:v>
      </x:c>
      <x:c r="K53" s="36" t="str">
        <x:v>Training</x:v>
      </x:c>
      <x:c r="L53" s="36" t="str">
        <x:v>Exact quotation; saved under the selected category.</x:v>
      </x:c>
      <x:c r="M53" s="36" t="str">
        <x:v>Substantive</x:v>
      </x:c>
    </x:row>
    <x:row r="54" ht="102" customHeight="1">
      <x:c r="A54" s="8" t="str">
        <x:v>M2-10</x:v>
      </x:c>
      <x:c r="B54" s="33" t="str">
        <x:v>male</x:v>
      </x:c>
      <x:c r="C54" s="8" t="str">
        <x:v>Scope and totality of the organizational self-claim</x:v>
      </x:c>
      <x:c r="D54" s="8" t="str">
        <x:v>Domain- or tool-bounded claim</x:v>
      </x:c>
      <x:c r="E54" s="34" t="n">
        <x:v>-1</x:v>
      </x:c>
      <x:c r="F54" s="8" t="str">
        <x:v>I am organized in terms of meeting deadlines
not always the most organized in terms of arranging things
complete school assignments at least a day in advance</x:v>
      </x:c>
      <x:c r="G54" s="8" t="str">
        <x:v>The participant makes a strong positive claim but explicitly confines it to a single domain, role, tool, or behavior type, without extending it to themselves or their life as a whole. Examples: 'I am known for being a list maker... extremely organized with my lists'; 'At work, I am very organized, as I have all of my notes labeled in folders'; 'I always meet deadlines and due date'; 'In my workplace I am known to be the best worker'; 'My organisation at school always meant I would complete coursework ahead of time'; 'I maintain a calendar with all of my meetings and deadlines' presented purely as a work instrument.</x:v>
      </x:c>
      <x:c r="H54" s="22" t="n">
        <x:v>17</x:v>
      </x:c>
      <x:c r="I54" s="22" t="n">
        <x:v>78</x:v>
      </x:c>
      <x:c r="J54" s="35" t="str">
        <x:v>858</x:v>
      </x:c>
      <x:c r="K54" s="8" t="str">
        <x:v>Training</x:v>
      </x:c>
      <x:c r="L54" s="8" t="str">
        <x:v>Exact quotation; saved under the selected category.</x:v>
      </x:c>
      <x:c r="M54" s="8" t="str">
        <x:v>Substantive</x:v>
      </x:c>
    </x:row>
    <x:row r="55" ht="87.75" customHeight="1">
      <x:c r="A55" s="27" t="str">
        <x:v>M2-10</x:v>
      </x:c>
      <x:c r="B55" s="28" t="str">
        <x:v>male</x:v>
      </x:c>
      <x:c r="C55" s="27" t="str">
        <x:v>Scope and totality of the organizational self-claim</x:v>
      </x:c>
      <x:c r="D55" s="27" t="str">
        <x:v>Multi-domain claim without totality language</x:v>
      </x:c>
      <x:c r="E55" s="29" t="n">
        <x:v>1</x:v>
      </x:c>
      <x:c r="F55" s="27" t="str">
        <x:v>My organization habit begin from my wardrobe
This habit is also evident in my place of work</x:v>
      </x:c>
      <x:c r="G55" s="27" t="str">
        <x:v>The participant asserts organization across more than one life domain (e.g., work and school, or home and professional settings) as a situated practice, but without unbounded or totalizing language about themselves as a whole person. Examples: describing organized habits at both school and work without claiming to be organized 'in everything' or 'overall'; 'since I am organized at home, I am also organized in any professional setting' stated as a domain transfer without absolute scope.</x:v>
      </x:c>
      <x:c r="H55" s="31" t="n">
        <x:v>10</x:v>
      </x:c>
      <x:c r="I55" s="31" t="n">
        <x:v>44</x:v>
      </x:c>
      <x:c r="J55" s="32" t="str">
        <x:v>487</x:v>
      </x:c>
      <x:c r="K55" s="27" t="str">
        <x:v>Training</x:v>
      </x:c>
      <x:c r="L55" s="27" t="str">
        <x:v>Exact quotation; saved under the selected category.</x:v>
      </x:c>
      <x:c r="M55" s="27" t="str">
        <x:v>Substantive</x:v>
      </x:c>
    </x:row>
    <x:row r="56" ht="116.25" customHeight="1">
      <x:c r="A56" s="8" t="str">
        <x:v>M2-10</x:v>
      </x:c>
      <x:c r="B56" s="33" t="str">
        <x:v>male</x:v>
      </x:c>
      <x:c r="C56" s="8" t="str">
        <x:v>Scope and totality of the organizational self-claim</x:v>
      </x:c>
      <x:c r="D56" s="8" t="str">
        <x:v>Unconditional life-wide claim</x:v>
      </x:c>
      <x:c r="E56" s="34" t="n">
        <x:v>2</x:v>
      </x:c>
      <x:c r="F56" s="8" t="str">
        <x:v>I am an organized person.
impacts both my behavior at work and home simultaneously
There is a place for everything and everything will be in it's place
I am very much OCD about things not being where they are suppose to be</x:v>
      </x:c>
      <x:c r="G56" s="8" t="str">
        <x:v>The participant claims organization in totalizing, unbounded terms applying to the whole person or whole life, typically with absolutes and no stated exceptions. Examples: 'I always try to be as organized as possible in everything I do... I really am unable to function unless I am organized'; 'it has helped me in so many areas of my life'; 'I tend to be a very organized person overall'; 'it has shown significant impact in my work place and life generally'; 'I always know where I have my things... I always have my things in its place'; 'people in my community would tease me pointing at how meticulous and organized I always was; an attitude I ended up growing with'.</x:v>
      </x:c>
      <x:c r="H56" s="22" t="n">
        <x:v>22</x:v>
      </x:c>
      <x:c r="I56" s="22" t="n">
        <x:v>74</x:v>
      </x:c>
      <x:c r="J56" s="35" t="str">
        <x:v>539</x:v>
      </x:c>
      <x:c r="K56" s="8" t="str">
        <x:v>Training</x:v>
      </x:c>
      <x:c r="L56" s="8" t="str">
        <x:v>Exact quotation; saved under the selected category.</x:v>
      </x:c>
      <x:c r="M56" s="8" t="str">
        <x:v>Substantive</x:v>
      </x:c>
    </x:row>
    <x:row r="57" ht="59.25" customHeight="1">
      <x:c r="A57" s="27" t="str">
        <x:v>M2-10</x:v>
      </x:c>
      <x:c r="B57" s="28" t="str">
        <x:v>male</x:v>
      </x:c>
      <x:c r="C57" s="27" t="str">
        <x:v>Scope and totality of the organizational self-claim</x:v>
      </x:c>
      <x:c r="D57" s="27" t="str">
        <x:v>Uncertain</x:v>
      </x:c>
      <x:c r="E57" s="29" t="n">
        <x:v>0</x:v>
      </x:c>
      <x:c r="F57" s="27" t="str">
        <x:v>I am extremely organized and how that has helped me in the work</x:v>
      </x:c>
      <x:c r="G57" s="27" t="str">
        <x:v>The interview gives mixed or ambiguous evidence about the scope of the claim, such as totality language alongside explicit bounding to one domain or tool, a strong but vague claim whose intended breadth is unclear, or too little self-description to judge how far the participant extends their organizedness.</x:v>
      </x:c>
      <x:c r="H57" s="31" t="n">
        <x:v>4</x:v>
      </x:c>
      <x:c r="I57" s="31" t="n">
        <x:v>19</x:v>
      </x:c>
      <x:c r="J57" s="32" t="str">
        <x:v>339</x:v>
      </x:c>
      <x:c r="K57" s="27" t="str">
        <x:v>Holdout</x:v>
      </x:c>
      <x:c r="L57" s="27" t="str">
        <x:v>Exact quotation; saved under the selected category.</x:v>
      </x:c>
      <x:c r="M57" s="27" t="str">
        <x:v>Uncertain</x:v>
      </x:c>
    </x:row>
    <x:row r="58" ht="59.25" customHeight="1">
      <x:c r="A58" s="8" t="str">
        <x:v>M2-10</x:v>
      </x:c>
      <x:c r="B58" s="33" t="str">
        <x:v>male</x:v>
      </x:c>
      <x:c r="C58" s="8" t="str">
        <x:v>Scope and totality of the organizational self-claim</x:v>
      </x:c>
      <x:c r="D58" s="8" t="str">
        <x:v>Not applicable</x:v>
      </x:c>
      <x:c r="E58" s="34" t="n">
        <x:v>0</x:v>
      </x:c>
      <x:c r="F58" s="8" t="str">
        <x:v>An organized person is likely to excel in managing their time efficiently
Organized individuals have a knack for identifing and prioritizing tasks</x:v>
      </x:c>
      <x:c r="G58" s="8" t="str">
        <x:v>The interview contains no self-description of the participant's own organization or its scope (e.g., only general opinions about what organized people do, or discussion of other people's organization), so there is no relevant evidence to judge this behavior.</x:v>
      </x:c>
      <x:c r="H58" s="22" t="n">
        <x:v>3</x:v>
      </x:c>
      <x:c r="I58" s="22" t="n">
        <x:v>5</x:v>
      </x:c>
      <x:c r="J58" s="35" t="str">
        <x:v>250</x:v>
      </x:c>
      <x:c r="K58" s="8" t="str">
        <x:v>Training</x:v>
      </x:c>
      <x:c r="L58" s="8" t="str">
        <x:v>Exact quotation; saved under the selected category.</x:v>
      </x:c>
      <x:c r="M58" s="8" t="str">
        <x:v>Not applicable</x:v>
      </x:c>
    </x:row>
    <x:row r="59" ht="58.5" customHeight="1">
      <x:c r="A59" s="27" t="str">
        <x:v>M2-10</x:v>
      </x:c>
      <x:c r="B59" s="28" t="str">
        <x:v>male</x:v>
      </x:c>
      <x:c r="C59" s="27" t="str">
        <x:v>Scope and totality of the organizational self-claim</x:v>
      </x:c>
      <x:c r="D59" s="27" t="str">
        <x:v>[Invalid response: zero fallback]</x:v>
      </x:c>
      <x:c r="E59" s="29" t="n">
        <x:v>0</x:v>
      </x:c>
      <x:c r="F59" s="27" t="str"/>
      <x:c r="G59" s="27" t="str">
        <x:v>The completed rating failed validation or did not match a valid response category. The saved pipeline assigned a flagged zero. This is a processing fallback, not a generated category.</x:v>
      </x:c>
      <x:c r="H59" s="31" t="n">
        <x:v>3</x:v>
      </x:c>
      <x:c r="I59" s="31" t="n">
        <x:v>3</x:v>
      </x:c>
      <x:c r="J59" s="32" t="str"/>
      <x:c r="K59" s="27" t="str"/>
      <x:c r="L59" s="27" t="str">
        <x:v>No category quotation is assigned to invalid responses.</x:v>
      </x:c>
      <x:c r="M59" s="27" t="str">
        <x:v>Invalid fallback</x:v>
      </x:c>
    </x:row>
    <x:row r="60" ht="30" customHeight="1">
      <x:c r="A60" s="26" t="str">
        <x:v>5. Dynamic task management versus static order. F2-07 and M2-06. Close match.</x:v>
      </x:c>
      <x:c r="B60" s="26"/>
      <x:c r="C60" s="26"/>
      <x:c r="D60" s="26"/>
      <x:c r="E60" s="26"/>
      <x:c r="F60" s="26"/>
      <x:c r="G60" s="26"/>
      <x:c r="H60" s="26"/>
      <x:c r="I60" s="26"/>
      <x:c r="J60" s="26"/>
      <x:c r="K60" s="26"/>
      <x:c r="L60" s="26"/>
      <x:c r="M60" s="26"/>
    </x:row>
    <x:row r="61" ht="73.5" customHeight="1">
      <x:c r="A61" s="36" t="str">
        <x:v>F2-07</x:v>
      </x:c>
      <x:c r="B61" s="37" t="str">
        <x:v>female</x:v>
      </x:c>
      <x:c r="C61" s="36" t="str">
        <x:v>Proactive task and time management versus static physical order</x:v>
      </x:c>
      <x:c r="D61" s="36" t="str">
        <x:v>Detailed task planning, prioritization, or early completion</x:v>
      </x:c>
      <x:c r="E61" s="38" t="n">
        <x:v>2</x:v>
      </x:c>
      <x:c r="F61" s="36" t="str">
        <x:v>creating a step by step process for how I am going to get something done
tackle the most time consuming or difficult part of the process first
break it up into pieces by focusing on different aspects</x:v>
      </x:c>
      <x:c r="G61" s="36" t="str">
        <x:v>The participant describes a specific process for managing work over time, such as breaking projects into step-by-step pieces, tackling the most difficult or time-consuming part first, prioritizing urgent tasks before less time-sensitive ones, scheduling set times during the week for recurring work, completing assignments on time or before deadlines, or starting tasks immediately and finishing them promptly.</x:v>
      </x:c>
      <x:c r="H61" s="39" t="n">
        <x:v>24</x:v>
      </x:c>
      <x:c r="I61" s="39" t="n">
        <x:v>75</x:v>
      </x:c>
      <x:c r="J61" s="40" t="str">
        <x:v>552</x:v>
      </x:c>
      <x:c r="K61" s="36" t="str">
        <x:v>Training</x:v>
      </x:c>
      <x:c r="L61" s="36" t="str">
        <x:v>Exact quotation; saved under the selected category.</x:v>
      </x:c>
      <x:c r="M61" s="36" t="str">
        <x:v>Substantive</x:v>
      </x:c>
    </x:row>
    <x:row r="62" ht="73.5" customHeight="1">
      <x:c r="A62" s="8" t="str">
        <x:v>F2-07</x:v>
      </x:c>
      <x:c r="B62" s="33" t="str">
        <x:v>female</x:v>
      </x:c>
      <x:c r="C62" s="8" t="str">
        <x:v>Proactive task and time management versus static physical order</x:v>
      </x:c>
      <x:c r="D62" s="8" t="str">
        <x:v>General time management or day structuring without detail</x:v>
      </x:c>
      <x:c r="E62" s="34" t="n">
        <x:v>1</x:v>
      </x:c>
      <x:c r="F62" s="8" t="str">
        <x:v>organized enough to know how to structure my day
make the most out of time management
complete multiple tasks at the same time</x:v>
      </x:c>
      <x:c r="G62" s="8" t="str">
        <x:v>The participant refers to structuring their day, managing time, keeping track of deadlines, or juggling multiple tasks, but without describing a concrete sequencing, prioritization, or breakdown process. Examples: 'organized enough to know how to structure my day for time management', 'I use multiple calendars so I'm not missing deadlines', or making a plan at the start of a task without further detail.</x:v>
      </x:c>
      <x:c r="H62" s="22" t="n">
        <x:v>18</x:v>
      </x:c>
      <x:c r="I62" s="22" t="n">
        <x:v>103</x:v>
      </x:c>
      <x:c r="J62" s="35" t="str">
        <x:v>731</x:v>
      </x:c>
      <x:c r="K62" s="8" t="str">
        <x:v>Training</x:v>
      </x:c>
      <x:c r="L62" s="8" t="str">
        <x:v>Exact quotation; saved under the selected category.</x:v>
      </x:c>
      <x:c r="M62" s="8" t="str">
        <x:v>Substantive</x:v>
      </x:c>
    </x:row>
    <x:row r="63" ht="59.25" customHeight="1">
      <x:c r="A63" s="27" t="str">
        <x:v>F2-07</x:v>
      </x:c>
      <x:c r="B63" s="28" t="str">
        <x:v>female</x:v>
      </x:c>
      <x:c r="C63" s="27" t="str">
        <x:v>Proactive task and time management versus static physical order</x:v>
      </x:c>
      <x:c r="D63" s="27" t="str">
        <x:v>Static physical order or named tools with no task management process</x:v>
      </x:c>
      <x:c r="E63" s="29" t="n">
        <x:v>-1</x:v>
      </x:c>
      <x:c r="F63" s="27" t="str">
        <x:v>I don't have too many materials to keep track of
my deskspace is usually very neat and tidy
easy for me to find things when I need them</x:v>
      </x:c>
      <x:c r="G63" s="27" t="str">
        <x:v>The participant describes organization as the state of their physical space or belongings (a neat and tidy desk, no clutter, everything easy to find, few materials to keep track of) or lists organizational tools, without describing how tasks are planned, prioritized, or scheduled over time.</x:v>
      </x:c>
      <x:c r="H63" s="31" t="n">
        <x:v>42</x:v>
      </x:c>
      <x:c r="I63" s="31" t="n">
        <x:v>165</x:v>
      </x:c>
      <x:c r="J63" s="32" t="str">
        <x:v>813</x:v>
      </x:c>
      <x:c r="K63" s="27" t="str">
        <x:v>Training</x:v>
      </x:c>
      <x:c r="L63" s="27" t="str">
        <x:v>Exact quotation; saved under the selected category.</x:v>
      </x:c>
      <x:c r="M63" s="27" t="str">
        <x:v>Substantive</x:v>
      </x:c>
    </x:row>
    <x:row r="64" ht="59.25" customHeight="1">
      <x:c r="A64" s="8" t="str">
        <x:v>F2-07</x:v>
      </x:c>
      <x:c r="B64" s="33" t="str">
        <x:v>female</x:v>
      </x:c>
      <x:c r="C64" s="8" t="str">
        <x:v>Proactive task and time management versus static physical order</x:v>
      </x:c>
      <x:c r="D64" s="8" t="str">
        <x:v>Uncertain</x:v>
      </x:c>
      <x:c r="E64" s="34" t="n">
        <x:v>0</x:v>
      </x:c>
      <x:c r="F64" s="8" t="str">
        <x:v>I always start out very organised and like the idea
on longer or less interesting tasks this can slip over time
difficult to be organised at all time if a task is not stimulating</x:v>
      </x:c>
      <x:c r="G64" s="8" t="str">
        <x:v>The interview gives unclear or mixed evidence, such as mentioning both task planning and only physical tidiness in ways that cannot be resolved, or the description is too brief to judge whether any task management process is described.</x:v>
      </x:c>
      <x:c r="H64" s="22" t="n">
        <x:v>8</x:v>
      </x:c>
      <x:c r="I64" s="22" t="n">
        <x:v>26</x:v>
      </x:c>
      <x:c r="J64" s="35" t="str">
        <x:v>184</x:v>
      </x:c>
      <x:c r="K64" s="8" t="str">
        <x:v>Training</x:v>
      </x:c>
      <x:c r="L64" s="8" t="str">
        <x:v>Exact quotation; saved under the selected category.</x:v>
      </x:c>
      <x:c r="M64" s="8" t="str">
        <x:v>Uncertain</x:v>
      </x:c>
    </x:row>
    <x:row r="65" ht="58.5" customHeight="1">
      <x:c r="A65" s="27" t="str">
        <x:v>F2-07</x:v>
      </x:c>
      <x:c r="B65" s="28" t="str">
        <x:v>female</x:v>
      </x:c>
      <x:c r="C65" s="27" t="str">
        <x:v>Proactive task and time management versus static physical order</x:v>
      </x:c>
      <x:c r="D65" s="27" t="str">
        <x:v>[Invalid response: zero fallback]</x:v>
      </x:c>
      <x:c r="E65" s="29" t="n">
        <x:v>0</x:v>
      </x:c>
      <x:c r="F65" s="27" t="str"/>
      <x:c r="G65" s="27" t="str">
        <x:v>The completed rating failed validation or did not match a valid response category. The saved pipeline assigned a flagged zero. This is a processing fallback, not a generated category.</x:v>
      </x:c>
      <x:c r="H65" s="31" t="n">
        <x:v>0</x:v>
      </x:c>
      <x:c r="I65" s="31" t="n">
        <x:v>1</x:v>
      </x:c>
      <x:c r="J65" s="32" t="str"/>
      <x:c r="K65" s="27" t="str"/>
      <x:c r="L65" s="27" t="str">
        <x:v>No category quotation is assigned to invalid responses.</x:v>
      </x:c>
      <x:c r="M65" s="27" t="str">
        <x:v>Invalid fallback</x:v>
      </x:c>
    </x:row>
    <x:row r="66" ht="73.5" customHeight="1">
      <x:c r="A66" s="36" t="str">
        <x:v>M2-06</x:v>
      </x:c>
      <x:c r="B66" s="37" t="str">
        <x:v>male</x:v>
      </x:c>
      <x:c r="C66" s="36" t="str">
        <x:v>Dynamic task management versus static organization</x:v>
      </x:c>
      <x:c r="D66" s="36" t="str">
        <x:v>Static storage or placement only</x:v>
      </x:c>
      <x:c r="E66" s="38" t="n">
        <x:v>-2</x:v>
      </x:c>
      <x:c r="F66" s="36" t="str">
        <x:v>I like to keep everything in a nice, organized binder
Keeping all my paperwork in one place keeps it from getting lost</x:v>
      </x:c>
      <x:c r="G66" s="36" t="str">
        <x:v>Participant describes organization exclusively as putting things in places or keeping spaces tidy, with no mention of how tasks or work are ordered, tracked, or managed. Examples: keeping paperwork in one binder so it does not get lost; keeping a clean desk; filing emails into folders for ease of access; arranging an office or table neatly; writing notes to revise later.</x:v>
      </x:c>
      <x:c r="H66" s="39" t="n">
        <x:v>33</x:v>
      </x:c>
      <x:c r="I66" s="39" t="n">
        <x:v>116</x:v>
      </x:c>
      <x:c r="J66" s="40" t="str">
        <x:v>399</x:v>
      </x:c>
      <x:c r="K66" s="36" t="str">
        <x:v>Training</x:v>
      </x:c>
      <x:c r="L66" s="36" t="str">
        <x:v>Exact quotation; saved under the selected category.</x:v>
      </x:c>
      <x:c r="M66" s="36" t="str">
        <x:v>Substantive</x:v>
      </x:c>
    </x:row>
    <x:row r="67" ht="73.5" customHeight="1">
      <x:c r="A67" s="8" t="str">
        <x:v>M2-06</x:v>
      </x:c>
      <x:c r="B67" s="33" t="str">
        <x:v>male</x:v>
      </x:c>
      <x:c r="C67" s="8" t="str">
        <x:v>Dynamic task management versus static organization</x:v>
      </x:c>
      <x:c r="D67" s="8" t="str">
        <x:v>Task list without prioritization</x:v>
      </x:c>
      <x:c r="E67" s="34" t="n">
        <x:v>-1</x:v>
      </x:c>
      <x:c r="F67" s="8" t="str">
        <x:v>I make a quick, seating, chart drawn on the bottom of the roster
I have a roster of who is there and if they're with me
I can leave a nice email for the teacher</x:v>
      </x:c>
      <x:c r="G67" s="8" t="str">
        <x:v>Participant describes maintaining a list or record of tasks or materials but does not describe deciding order by importance or urgency, nor actively monitoring ongoing status. Examples: keeping a written list of tasks to carry out without saying which are done first; labeling notes in folders to carry out the job; making a seating chart or roster copy to keep track of who is present.</x:v>
      </x:c>
      <x:c r="H67" s="22" t="n">
        <x:v>7</x:v>
      </x:c>
      <x:c r="I67" s="22" t="n">
        <x:v>32</x:v>
      </x:c>
      <x:c r="J67" s="35" t="str">
        <x:v>243</x:v>
      </x:c>
      <x:c r="K67" s="8" t="str">
        <x:v>Training</x:v>
      </x:c>
      <x:c r="L67" s="8" t="str">
        <x:v>Exact quotation; saved under the selected category.</x:v>
      </x:c>
      <x:c r="M67" s="8" t="str">
        <x:v>Substantive</x:v>
      </x:c>
    </x:row>
    <x:row r="68" ht="73.5" customHeight="1">
      <x:c r="A68" s="27" t="str">
        <x:v>M2-06</x:v>
      </x:c>
      <x:c r="B68" s="28" t="str">
        <x:v>male</x:v>
      </x:c>
      <x:c r="C68" s="27" t="str">
        <x:v>Dynamic task management versus static organization</x:v>
      </x:c>
      <x:c r="D68" s="27" t="str">
        <x:v>Prioritization by importance or urgency</x:v>
      </x:c>
      <x:c r="E68" s="29" t="n">
        <x:v>1</x:v>
      </x:c>
      <x:c r="F68" s="27" t="str">
        <x:v>I have a game plan as to how I will complete a task
organized with materials and any knowledge I require before I begin</x:v>
      </x:c>
      <x:c r="G68" s="27" t="str">
        <x:v>Participant describes deciding the order of work based on importance, urgency, or time-sensitivity, or planning an approach before starting. Examples: getting on with the most important tasks first; focusing on the most time-sensitive and urgent tasks first; having a game plan for how to complete a task and gathering materials and knowledge before beginning; planning work ahead so jobs are easier.</x:v>
      </x:c>
      <x:c r="H68" s="31" t="n">
        <x:v>17</x:v>
      </x:c>
      <x:c r="I68" s="31" t="n">
        <x:v>56</x:v>
      </x:c>
      <x:c r="J68" s="32" t="str">
        <x:v>313</x:v>
      </x:c>
      <x:c r="K68" s="27" t="str">
        <x:v>Training</x:v>
      </x:c>
      <x:c r="L68" s="27" t="str">
        <x:v>Exact quotation; saved under the selected category.</x:v>
      </x:c>
      <x:c r="M68" s="27" t="str">
        <x:v>Substantive</x:v>
      </x:c>
    </x:row>
    <x:row r="69" ht="73.5" customHeight="1">
      <x:c r="A69" s="8" t="str">
        <x:v>M2-06</x:v>
      </x:c>
      <x:c r="B69" s="33" t="str">
        <x:v>male</x:v>
      </x:c>
      <x:c r="C69" s="8" t="str">
        <x:v>Dynamic task management versus static organization</x:v>
      </x:c>
      <x:c r="D69" s="8" t="str">
        <x:v>Continuous monitoring and staying on top</x:v>
      </x:c>
      <x:c r="E69" s="34" t="n">
        <x:v>2</x:v>
      </x:c>
      <x:c r="F69" s="8" t="str">
        <x:v>I align my tasks daily too
desired results we want to achieve
organize my team to achieve their daily targets</x:v>
      </x:c>
      <x:c r="G69" s="8" t="str">
        <x:v>Participant describes an ongoing, real-time awareness of task, information, or team status that they actively maintain. Examples: keeping on top of every piece of data and storing it appropriately; a to-do list that is 'constantly on'; organizing team members daily toward targets and checking desired results; staying ahead of weekly deadlines while tracking everything.</x:v>
      </x:c>
      <x:c r="H69" s="22" t="n">
        <x:v>8</x:v>
      </x:c>
      <x:c r="I69" s="22" t="n">
        <x:v>27</x:v>
      </x:c>
      <x:c r="J69" s="35" t="str">
        <x:v>774</x:v>
      </x:c>
      <x:c r="K69" s="8" t="str">
        <x:v>Training</x:v>
      </x:c>
      <x:c r="L69" s="8" t="str">
        <x:v>Exact quotation; saved under the selected category.</x:v>
      </x:c>
      <x:c r="M69" s="8" t="str">
        <x:v>Substantive</x:v>
      </x:c>
    </x:row>
    <x:row r="70" ht="59.25" customHeight="1">
      <x:c r="A70" s="27" t="str">
        <x:v>M2-06</x:v>
      </x:c>
      <x:c r="B70" s="28" t="str">
        <x:v>male</x:v>
      </x:c>
      <x:c r="C70" s="27" t="str">
        <x:v>Dynamic task management versus static organization</x:v>
      </x:c>
      <x:c r="D70" s="27" t="str">
        <x:v>Uncertain</x:v>
      </x:c>
      <x:c r="E70" s="29" t="n">
        <x:v>0</x:v>
      </x:c>
      <x:c r="F70" s="27" t="str">
        <x:v>After I graduated I began to organize my life and work
I went through promotions and don't have to worry about big items</x:v>
      </x:c>
      <x:c r="G70" s="27" t="str">
        <x:v>The interview gives mixed or ambiguous evidence about whether the organization is dynamic or static, such as a described method whose sequencing or monitoring aspect is unclear, or statements that could indicate either passive filing or active management without enough detail to judge.</x:v>
      </x:c>
      <x:c r="H70" s="31" t="n">
        <x:v>14</x:v>
      </x:c>
      <x:c r="I70" s="31" t="n">
        <x:v>54</x:v>
      </x:c>
      <x:c r="J70" s="32" t="str">
        <x:v>8</x:v>
      </x:c>
      <x:c r="K70" s="27" t="str">
        <x:v>Training</x:v>
      </x:c>
      <x:c r="L70" s="27" t="str">
        <x:v>Exact quotation; saved under the selected category.</x:v>
      </x:c>
      <x:c r="M70" s="27" t="str">
        <x:v>Uncertain</x:v>
      </x:c>
    </x:row>
    <x:row r="71" ht="59.25" customHeight="1">
      <x:c r="A71" s="8" t="str">
        <x:v>M2-06</x:v>
      </x:c>
      <x:c r="B71" s="33" t="str">
        <x:v>male</x:v>
      </x:c>
      <x:c r="C71" s="8" t="str">
        <x:v>Dynamic task management versus static organization</x:v>
      </x:c>
      <x:c r="D71" s="8" t="str">
        <x:v>Not applicable</x:v>
      </x:c>
      <x:c r="E71" s="34" t="n">
        <x:v>0</x:v>
      </x:c>
      <x:c r="F71" s="8" t="str">
        <x:v>An organized person is likely to excel in managing their time
Organized individuals have a knack for identifing and prioritizing tasks</x:v>
      </x:c>
      <x:c r="G71" s="8" t="str">
        <x:v>The interview does not describe any of the participant's own organizational behavior (e.g., only general opinions about what organized people do, or purely non-task-related content), so there is no relevant evidence to judge this behavior.</x:v>
      </x:c>
      <x:c r="H71" s="22" t="n">
        <x:v>7</x:v>
      </x:c>
      <x:c r="I71" s="22" t="n">
        <x:v>56</x:v>
      </x:c>
      <x:c r="J71" s="35" t="str">
        <x:v>250</x:v>
      </x:c>
      <x:c r="K71" s="8" t="str">
        <x:v>Training</x:v>
      </x:c>
      <x:c r="L71" s="8" t="str">
        <x:v>Exact quotation; saved under the selected category.</x:v>
      </x:c>
      <x:c r="M71" s="8" t="str">
        <x:v>Not applicable</x:v>
      </x:c>
    </x:row>
    <x:row r="72" ht="58.5" customHeight="1">
      <x:c r="A72" s="27" t="str">
        <x:v>M2-06</x:v>
      </x:c>
      <x:c r="B72" s="28" t="str">
        <x:v>male</x:v>
      </x:c>
      <x:c r="C72" s="27" t="str">
        <x:v>Dynamic task management versus static organization</x:v>
      </x:c>
      <x:c r="D72" s="27" t="str">
        <x:v>[Invalid response: zero fallback]</x:v>
      </x:c>
      <x:c r="E72" s="29" t="n">
        <x:v>0</x:v>
      </x:c>
      <x:c r="F72" s="27" t="str"/>
      <x:c r="G72" s="27" t="str">
        <x:v>The completed rating failed validation or did not match a valid response category. The saved pipeline assigned a flagged zero. This is a processing fallback, not a generated category.</x:v>
      </x:c>
      <x:c r="H72" s="31" t="n">
        <x:v>0</x:v>
      </x:c>
      <x:c r="I72" s="31" t="n">
        <x:v>4</x:v>
      </x:c>
      <x:c r="J72" s="32" t="str"/>
      <x:c r="K72" s="27" t="str"/>
      <x:c r="L72" s="27" t="str">
        <x:v>No category quotation is assigned to invalid responses.</x:v>
      </x:c>
      <x:c r="M72" s="27" t="str">
        <x:v>Invalid fallback</x:v>
      </x:c>
    </x:row>
    <x:row r="73" ht="30" customHeight="1">
      <x:c r="A73" s="26" t="str">
        <x:v>6. Rules and maxims about organization. F2-09 and M2-08. Close match with different low categories.</x:v>
      </x:c>
      <x:c r="B73" s="26"/>
      <x:c r="C73" s="26"/>
      <x:c r="D73" s="26"/>
      <x:c r="E73" s="26"/>
      <x:c r="F73" s="26"/>
      <x:c r="G73" s="26"/>
      <x:c r="H73" s="26"/>
      <x:c r="I73" s="26"/>
      <x:c r="J73" s="26"/>
      <x:c r="K73" s="26"/>
      <x:c r="L73" s="26"/>
      <x:c r="M73" s="26"/>
    </x:row>
    <x:row r="74" ht="116.25" customHeight="1">
      <x:c r="A74" s="36" t="str">
        <x:v>F2-09</x:v>
      </x:c>
      <x:c r="B74" s="37" t="str">
        <x:v>female</x:v>
      </x:c>
      <x:c r="C74" s="36" t="str">
        <x:v>Articulation of general organizing rules, maxims, or causal beliefs versus specific practices versus bare state description</x:v>
      </x:c>
      <x:c r="D74" s="36" t="str">
        <x:v>General rule, maxim, or causal belief about organization</x:v>
      </x:c>
      <x:c r="E74" s="38" t="n">
        <x:v>3</x:v>
      </x:c>
      <x:c r="F74" s="36" t="str">
        <x:v>If you can set up a system, even if it's a bit loose, your work will go more smoothly
your house will be more orderly and pleasant
being organized means you don't have to worry where you put something
saves a lot of time like when you're making a shopping list
She taught me the value of being an organized person</x:v>
      </x:c>
      <x:c r="G74" s="36" t="str">
        <x:v>The participant articulates at least one generalizable principle: a rule about how things should be kept, an if-then maxim or prescriptive statement often phrased for anyone ('so you know exactly where something is', 'if you can set up a system... your work will go more smoothly'), a counterfactual about what would happen without organization ('achieve better grades than I would have if I was not organized and wasting precious time', 'you don't spend hours looking for something'), or a general value or aversion regarding order ('I like things to be neat and tidy', 'I do not like being unorganised'). Specific practices may also be described alongside the principle.</x:v>
      </x:c>
      <x:c r="H74" s="39" t="n">
        <x:v>49</x:v>
      </x:c>
      <x:c r="I74" s="39" t="n">
        <x:v>186</x:v>
      </x:c>
      <x:c r="J74" s="40" t="str">
        <x:v>373</x:v>
      </x:c>
      <x:c r="K74" s="36" t="str">
        <x:v>Training</x:v>
      </x:c>
      <x:c r="L74" s="36" t="str">
        <x:v>Exact quotation; saved under the selected category.</x:v>
      </x:c>
      <x:c r="M74" s="36" t="str">
        <x:v>Substantive</x:v>
      </x:c>
    </x:row>
    <x:row r="75" ht="73.5" customHeight="1">
      <x:c r="A75" s="8" t="str">
        <x:v>F2-09</x:v>
      </x:c>
      <x:c r="B75" s="33" t="str">
        <x:v>female</x:v>
      </x:c>
      <x:c r="C75" s="8" t="str">
        <x:v>Articulation of general organizing rules, maxims, or causal beliefs versus specific practices versus bare state description</x:v>
      </x:c>
      <x:c r="D75" s="8" t="str">
        <x:v>Specific practices, tools, or systems without general rules</x:v>
      </x:c>
      <x:c r="E75" s="34" t="n">
        <x:v>1</x:v>
      </x:c>
      <x:c r="F75" s="8" t="str">
        <x:v>I like to use tools such as Trello
I also use it as a to-do list
I have multiple calendars that also help keep me organized
helps with making sure I'm not missing deadlines</x:v>
      </x:c>
      <x:c r="G75" s="8" t="str">
        <x:v>The participant describes particular behaviors, tools, or personal systems they use (buying a planner, Trello, multiple calendars, colored pens and binders, making lists, a desk pile arrangement, app trackers, writing everything down) but states no general rule, maxim, counterfactual, or general value belief about organization.</x:v>
      </x:c>
      <x:c r="H75" s="22" t="n">
        <x:v>28</x:v>
      </x:c>
      <x:c r="I75" s="22" t="n">
        <x:v>109</x:v>
      </x:c>
      <x:c r="J75" s="35" t="str">
        <x:v>836</x:v>
      </x:c>
      <x:c r="K75" s="8" t="str">
        <x:v>Training</x:v>
      </x:c>
      <x:c r="L75" s="8" t="str">
        <x:v>Exact quotation; saved under the selected category.</x:v>
      </x:c>
      <x:c r="M75" s="8" t="str">
        <x:v>Substantive</x:v>
      </x:c>
    </x:row>
    <x:row r="76" ht="87.75" customHeight="1">
      <x:c r="A76" s="27" t="str">
        <x:v>F2-09</x:v>
      </x:c>
      <x:c r="B76" s="28" t="str">
        <x:v>female</x:v>
      </x:c>
      <x:c r="C76" s="27" t="str">
        <x:v>Articulation of general organizing rules, maxims, or causal beliefs versus specific practices versus bare state description</x:v>
      </x:c>
      <x:c r="D76" s="27" t="str">
        <x:v>State, self-assessment, or struggle described without practices or rules</x:v>
      </x:c>
      <x:c r="E76" s="29" t="n">
        <x:v>-1</x:v>
      </x:c>
      <x:c r="F76" s="27" t="str">
        <x:v>I am pretty organized at work
I don't have too many materials to keep track of
my deskspace is usually very neat and tidy
helps me be as productive and efficient as I can be</x:v>
      </x:c>
      <x:c r="G76" s="27" t="str">
        <x:v>The participant describes only how organized or messy their space or life currently is, gives a bare self-rating, or recounts their struggles, without describing any practice, tool, or system and without stating any general principle. Examples: 'I don't have too many materials to keep track of, so my deskspace is usually very neat', 'I'm not really sure how good I am organized... it isn't messy', 'I struggle with organisation... always feel like I'm just chasing tasks', or 'organized enough to know how to structure my day'.</x:v>
      </x:c>
      <x:c r="H76" s="31" t="n">
        <x:v>14</x:v>
      </x:c>
      <x:c r="I76" s="31" t="n">
        <x:v>72</x:v>
      </x:c>
      <x:c r="J76" s="32" t="str">
        <x:v>813</x:v>
      </x:c>
      <x:c r="K76" s="27" t="str">
        <x:v>Training</x:v>
      </x:c>
      <x:c r="L76" s="27" t="str">
        <x:v>Exact quotation; saved under the selected category.</x:v>
      </x:c>
      <x:c r="M76" s="27" t="str">
        <x:v>Substantive</x:v>
      </x:c>
    </x:row>
    <x:row r="77" ht="59.25" customHeight="1">
      <x:c r="A77" s="8" t="str">
        <x:v>F2-09</x:v>
      </x:c>
      <x:c r="B77" s="33" t="str">
        <x:v>female</x:v>
      </x:c>
      <x:c r="C77" s="8" t="str">
        <x:v>Articulation of general organizing rules, maxims, or causal beliefs versus specific practices versus bare state description</x:v>
      </x:c>
      <x:c r="D77" s="8" t="str">
        <x:v>Uncertain</x:v>
      </x:c>
      <x:c r="E77" s="34" t="n">
        <x:v>0</x:v>
      </x:c>
      <x:c r="F77" s="8" t="str"/>
      <x:c r="G77" s="8" t="str">
        <x:v>The interview is too brief or ambiguous to determine whether the participant articulates a general principle, describes practices, or only describes a state, or mixes these levels in a way that cannot be resolved.</x:v>
      </x:c>
      <x:c r="H77" s="22" t="n">
        <x:v>0</x:v>
      </x:c>
      <x:c r="I77" s="22" t="n">
        <x:v>0</x:v>
      </x:c>
      <x:c r="J77" s="35" t="str"/>
      <x:c r="K77" s="8" t="str"/>
      <x:c r="L77" s="8" t="str">
        <x:v>No participant received this category in training or holdout.</x:v>
      </x:c>
      <x:c r="M77" s="8" t="str">
        <x:v>Uncertain</x:v>
      </x:c>
    </x:row>
    <x:row r="78" ht="59.25" customHeight="1">
      <x:c r="A78" s="27" t="str">
        <x:v>F2-09</x:v>
      </x:c>
      <x:c r="B78" s="28" t="str">
        <x:v>female</x:v>
      </x:c>
      <x:c r="C78" s="27" t="str">
        <x:v>Articulation of general organizing rules, maxims, or causal beliefs versus specific practices versus bare state description</x:v>
      </x:c>
      <x:c r="D78" s="27" t="str">
        <x:v>[Invalid response: zero fallback]</x:v>
      </x:c>
      <x:c r="E78" s="29" t="n">
        <x:v>0</x:v>
      </x:c>
      <x:c r="F78" s="27" t="str"/>
      <x:c r="G78" s="27" t="str">
        <x:v>The completed rating failed validation or did not match a valid response category. The saved pipeline assigned a flagged zero. This is a processing fallback, not a generated category.</x:v>
      </x:c>
      <x:c r="H78" s="31" t="n">
        <x:v>1</x:v>
      </x:c>
      <x:c r="I78" s="31" t="n">
        <x:v>3</x:v>
      </x:c>
      <x:c r="J78" s="32" t="str"/>
      <x:c r="K78" s="27" t="str"/>
      <x:c r="L78" s="27" t="str">
        <x:v>No category quotation is assigned to invalid responses.</x:v>
      </x:c>
      <x:c r="M78" s="27" t="str">
        <x:v>Invalid fallback</x:v>
      </x:c>
    </x:row>
    <x:row r="79" ht="102" customHeight="1">
      <x:c r="A79" s="36" t="str">
        <x:v>M2-08</x:v>
      </x:c>
      <x:c r="B79" s="37" t="str">
        <x:v>male</x:v>
      </x:c>
      <x:c r="C79" s="36" t="str">
        <x:v>Rule- or maxim-based framing of organization</x:v>
      </x:c>
      <x:c r="D79" s="36" t="str">
        <x:v>Exception-framed or conditional organization</x:v>
      </x:c>
      <x:c r="E79" s="38" t="n">
        <x:v>-2</x:v>
      </x:c>
      <x:c r="F79" s="36" t="str">
        <x:v>I consider myself to be slightly unorganized
I do put things away in their proper place (eventually)
I don't put too much effort into making things neat and tidy
It's only until I get sufficiently annoyed that I'll the allocate time</x:v>
      </x:c>
      <x:c r="G79" s="36" t="str">
        <x:v>The participant describes their current organization with explicit conditionality, deferral, frequency qualifiers, or trigger thresholds, presenting order as contingent rather than rule-governed. Examples: putting things away in their proper place 'eventually'; 'I don't put too much effort into making things neat and tidy'; 'I do misplace things sometimes'; 'It's only until I get sufficiently annoyed that I'll allocate time to organize my files'; 'I am not particularly tidy, but I try to keep things in place'; 'I organize my desk when I can no longer find anything'.</x:v>
      </x:c>
      <x:c r="H79" s="39" t="n">
        <x:v>10</x:v>
      </x:c>
      <x:c r="I79" s="39" t="n">
        <x:v>53</x:v>
      </x:c>
      <x:c r="J79" s="40" t="str">
        <x:v>752</x:v>
      </x:c>
      <x:c r="K79" s="36" t="str">
        <x:v>Training</x:v>
      </x:c>
      <x:c r="L79" s="36" t="str">
        <x:v>Exact quotation; saved under the selected category.</x:v>
      </x:c>
      <x:c r="M79" s="36" t="str">
        <x:v>Substantive</x:v>
      </x:c>
    </x:row>
    <x:row r="80" ht="102" customHeight="1">
      <x:c r="A80" s="8" t="str">
        <x:v>M2-08</x:v>
      </x:c>
      <x:c r="B80" s="33" t="str">
        <x:v>male</x:v>
      </x:c>
      <x:c r="C80" s="8" t="str">
        <x:v>Rule- or maxim-based framing of organization</x:v>
      </x:c>
      <x:c r="D80" s="8" t="str">
        <x:v>Situated practices without rule framing</x:v>
      </x:c>
      <x:c r="E80" s="34" t="n">
        <x:v>-1</x:v>
      </x:c>
      <x:c r="F80" s="8" t="str">
        <x:v>I keep a list of tasks I have to carry out written down
get on with the most important ones first
I like to keep my working area clean with no paper
it helps me keep focused</x:v>
      </x:c>
      <x:c r="G80" s="8" t="str">
        <x:v>The participant describes what they actually do, including tools or methods such as lists, apps, spreadsheets, labeled folders, monitors, planning ahead, or priority ordering, as behaviors or techniques, without stating any governing rule, standard of correctness, or importance value for order. Examples: 'I make lists for everything and use Microsoft Excel'; 'I keep every email in their organized folders'; 'I have a game plan... and make sure I am organized with materials before I begin'; 'I get on with the most important ones first'; 'I keep my working area clean with no paper'.</x:v>
      </x:c>
      <x:c r="H80" s="22" t="n">
        <x:v>30</x:v>
      </x:c>
      <x:c r="I80" s="22" t="n">
        <x:v>96</x:v>
      </x:c>
      <x:c r="J80" s="35" t="str">
        <x:v>629</x:v>
      </x:c>
      <x:c r="K80" s="8" t="str">
        <x:v>Training</x:v>
      </x:c>
      <x:c r="L80" s="8" t="str">
        <x:v>Exact quotation; saved under the selected category.</x:v>
      </x:c>
      <x:c r="M80" s="8" t="str">
        <x:v>Substantive</x:v>
      </x:c>
    </x:row>
    <x:row r="81" ht="87.75" customHeight="1">
      <x:c r="A81" s="27" t="str">
        <x:v>M2-08</x:v>
      </x:c>
      <x:c r="B81" s="28" t="str">
        <x:v>male</x:v>
      </x:c>
      <x:c r="C81" s="27" t="str">
        <x:v>Rule- or maxim-based framing of organization</x:v>
      </x:c>
      <x:c r="D81" s="27" t="str">
        <x:v>Uncertain</x:v>
      </x:c>
      <x:c r="E81" s="29" t="n">
        <x:v>0</x:v>
      </x:c>
      <x:c r="F81" s="27" t="str">
        <x:v>i am quite organized
made me really organised and tidy
i am always on time and ensuring all the work has been done</x:v>
      </x:c>
      <x:c r="G81" s="27" t="str">
        <x:v>The interview gives mixed or ambiguous evidence about the level of rule framing. Examples: the participant states a rule (e.g., 'everything has its place') but also describes conditional behavior that contradicts it (e.g., 'but I only tidy up when company comes over'); or the description is too vague to determine whether a governing principle, a situated practice, or an exception is being expressed (e.g., 'I try to stay organized').</x:v>
      </x:c>
      <x:c r="H81" s="31" t="n">
        <x:v>9</x:v>
      </x:c>
      <x:c r="I81" s="31" t="n">
        <x:v>35</x:v>
      </x:c>
      <x:c r="J81" s="32" t="str">
        <x:v>690</x:v>
      </x:c>
      <x:c r="K81" s="27" t="str">
        <x:v>Training</x:v>
      </x:c>
      <x:c r="L81" s="27" t="str">
        <x:v>Exact quotation; saved under the selected category.</x:v>
      </x:c>
      <x:c r="M81" s="27" t="str">
        <x:v>Uncertain</x:v>
      </x:c>
    </x:row>
    <x:row r="82" ht="58.5" customHeight="1">
      <x:c r="A82" s="8" t="str">
        <x:v>M2-08</x:v>
      </x:c>
      <x:c r="B82" s="33" t="str">
        <x:v>male</x:v>
      </x:c>
      <x:c r="C82" s="8" t="str">
        <x:v>Rule- or maxim-based framing of organization</x:v>
      </x:c>
      <x:c r="D82" s="8" t="str">
        <x:v>Not applicable</x:v>
      </x:c>
      <x:c r="E82" s="34" t="n">
        <x:v>0</x:v>
      </x:c>
      <x:c r="F82" s="8" t="str">
        <x:v>i always comport my self when ever am in class or work
no one likes a person who does not comport his or her self</x:v>
      </x:c>
      <x:c r="G82" s="8" t="str">
        <x:v>The interview contains no description of the participant's own organization or any principles about order (e.g., only unrelated content is discussed), so there is no relevant evidence to judge this behavior.</x:v>
      </x:c>
      <x:c r="H82" s="22" t="n">
        <x:v>2</x:v>
      </x:c>
      <x:c r="I82" s="22" t="n">
        <x:v>10</x:v>
      </x:c>
      <x:c r="J82" s="35" t="str">
        <x:v>145</x:v>
      </x:c>
      <x:c r="K82" s="8" t="str">
        <x:v>Training</x:v>
      </x:c>
      <x:c r="L82" s="8" t="str">
        <x:v>Exact quotation; saved under the selected category.</x:v>
      </x:c>
      <x:c r="M82" s="8" t="str">
        <x:v>Not applicable</x:v>
      </x:c>
    </x:row>
    <x:row r="83" ht="87.75" customHeight="1">
      <x:c r="A83" s="27" t="str">
        <x:v>M2-08</x:v>
      </x:c>
      <x:c r="B83" s="28" t="str">
        <x:v>male</x:v>
      </x:c>
      <x:c r="C83" s="27" t="str">
        <x:v>Rule- or maxim-based framing of organization</x:v>
      </x:c>
      <x:c r="D83" s="27" t="str">
        <x:v>Personal rule or value commitment</x:v>
      </x:c>
      <x:c r="E83" s="29" t="n">
        <x:v>1</x:v>
      </x:c>
      <x:c r="F83" s="27" t="str">
        <x:v>I'm a very organized person
I believe that every thing in my home/work should have a home
nothing is lost and it saves time during my day</x:v>
      </x:c>
      <x:c r="G83" s="27" t="str">
        <x:v>The participant states a rule, standard, or value commitment governing their own order, using prescriptive or importance language scoped to their own life or specific domains of it. Examples: 'I believe that every thing in my home/work should have a home'; 'everything in my room has a specific place that it is kept'; 'being very organized is very important to me'; 'I like everything in order'; 'I make sure to put them back where they belong'; 'I always file everything in the correct place'.</x:v>
      </x:c>
      <x:c r="H83" s="31" t="n">
        <x:v>27</x:v>
      </x:c>
      <x:c r="I83" s="31" t="n">
        <x:v>132</x:v>
      </x:c>
      <x:c r="J83" s="32" t="str">
        <x:v>878</x:v>
      </x:c>
      <x:c r="K83" s="27" t="str">
        <x:v>Training</x:v>
      </x:c>
      <x:c r="L83" s="27" t="str">
        <x:v>Exact quotation; saved under the selected category.</x:v>
      </x:c>
      <x:c r="M83" s="27" t="str">
        <x:v>Substantive</x:v>
      </x:c>
    </x:row>
    <x:row r="84" ht="102" customHeight="1">
      <x:c r="A84" s="8" t="str">
        <x:v>M2-08</x:v>
      </x:c>
      <x:c r="B84" s="33" t="str">
        <x:v>male</x:v>
      </x:c>
      <x:c r="C84" s="8" t="str">
        <x:v>Rule- or maxim-based framing of organization</x:v>
      </x:c>
      <x:c r="D84" s="8" t="str">
        <x:v>Universal maxim or normative claim</x:v>
      </x:c>
      <x:c r="E84" s="34" t="n">
        <x:v>2</x:v>
      </x:c>
      <x:c r="F84" s="8" t="str">
        <x:v>I live my the rule that there is a place for everything
Without organization, people lose the ability to be productive
spend the majority of their time wandering aimlessly</x:v>
      </x:c>
      <x:c r="G84" s="8" t="str">
        <x:v>The participant generalizes the rule beyond their own case, stating it as applying to people or anyone in general, or adopts an aphorism or proverb as a governing maxim. Examples: 'I live by the rule that there is a place for everything and everything in its place'; 'without organization, people lose the ability to be productive since they spend the majority of their time wandering aimlessly'; 'it is vital that you are on top of things at all times' using generic 'you'; 'everything has to be neat and well organized' presented as a law-like requirement.</x:v>
      </x:c>
      <x:c r="H84" s="22" t="n">
        <x:v>8</x:v>
      </x:c>
      <x:c r="I84" s="22" t="n">
        <x:v>17</x:v>
      </x:c>
      <x:c r="J84" s="35" t="str">
        <x:v>843</x:v>
      </x:c>
      <x:c r="K84" s="8" t="str">
        <x:v>Training</x:v>
      </x:c>
      <x:c r="L84" s="8" t="str">
        <x:v>Exact quotation; saved under the selected category.</x:v>
      </x:c>
      <x:c r="M84" s="8" t="str">
        <x:v>Substantive</x:v>
      </x:c>
    </x:row>
    <x:row r="85" ht="58.5" customHeight="1">
      <x:c r="A85" s="27" t="str">
        <x:v>M2-08</x:v>
      </x:c>
      <x:c r="B85" s="28" t="str">
        <x:v>male</x:v>
      </x:c>
      <x:c r="C85" s="27" t="str">
        <x:v>Rule- or maxim-based framing of organization</x:v>
      </x:c>
      <x:c r="D85" s="27" t="str">
        <x:v>[Invalid response: zero fallback]</x:v>
      </x:c>
      <x:c r="E85" s="29" t="n">
        <x:v>0</x:v>
      </x:c>
      <x:c r="F85" s="27" t="str"/>
      <x:c r="G85" s="27" t="str">
        <x:v>The completed rating failed validation or did not match a valid response category. The saved pipeline assigned a flagged zero. This is a processing fallback, not a generated category.</x:v>
      </x:c>
      <x:c r="H85" s="31" t="n">
        <x:v>0</x:v>
      </x:c>
      <x:c r="I85" s="31" t="n">
        <x:v>2</x:v>
      </x:c>
      <x:c r="J85" s="32" t="str"/>
      <x:c r="K85" s="27" t="str"/>
      <x:c r="L85" s="27" t="str">
        <x:v>No category quotation is assigned to invalid responses.</x:v>
      </x:c>
      <x:c r="M85" s="27" t="str">
        <x:v>Invalid fallback</x:v>
      </x:c>
    </x:row>
    <x:row r="86" ht="30" customHeight="1">
      <x:c r="A86" s="26" t="str">
        <x:v>7. Breadth and interpersonal scope of responsibilities. F2-11 and M2-09. Partial overlap.</x:v>
      </x:c>
      <x:c r="B86" s="26"/>
      <x:c r="C86" s="26"/>
      <x:c r="D86" s="26"/>
      <x:c r="E86" s="26"/>
      <x:c r="F86" s="26"/>
      <x:c r="G86" s="26"/>
      <x:c r="H86" s="26"/>
      <x:c r="I86" s="26"/>
      <x:c r="J86" s="26"/>
      <x:c r="K86" s="26"/>
      <x:c r="L86" s="26"/>
      <x:c r="M86" s="26"/>
    </x:row>
    <x:row r="87" ht="102" customHeight="1">
      <x:c r="A87" s="36" t="str">
        <x:v>F2-11</x:v>
      </x:c>
      <x:c r="B87" s="37" t="str">
        <x:v>female</x:v>
      </x:c>
      <x:c r="C87" s="36" t="str">
        <x:v>Breadth of concurrent responsibilities described as successfully managed</x:v>
      </x:c>
      <x:c r="D87" s="36" t="str">
        <x:v>Multiple concurrent roles or streams of responsibility managed successfully</x:v>
      </x:c>
      <x:c r="E87" s="38" t="n">
        <x:v>3</x:v>
      </x:c>
      <x:c r="F87" s="36" t="str">
        <x:v>keep all the projects that I'm working on organized
I have multiple calendars that also help keep me organized
making sure I'm not missing deadlines
important conversations with my colleagues</x:v>
      </x:c>
      <x:c r="G87" s="36" t="str">
        <x:v>The participant describes their organization handling two or more distinct concurrent streams of obligation, such as multiple sites or schools with deadlines, multiple organizations, projects, or groups of colleagues, a full workload of deadlines, tasks, and progress tracking, or work plus household and personal matters, and describes keeping on top of them or meeting them (getting things done by the deadline, meeting all set goals, being able to work efficiently across the streams). Also includes explicit high-output claims of handling work plus household duties plus personal interests successfully.</x:v>
      </x:c>
      <x:c r="H87" s="39" t="n">
        <x:v>14</x:v>
      </x:c>
      <x:c r="I87" s="39" t="n">
        <x:v>55</x:v>
      </x:c>
      <x:c r="J87" s="40" t="str">
        <x:v>836</x:v>
      </x:c>
      <x:c r="K87" s="36" t="str">
        <x:v>Training</x:v>
      </x:c>
      <x:c r="L87" s="36" t="str">
        <x:v>Exact quotation; saved under the selected category.</x:v>
      </x:c>
      <x:c r="M87" s="36" t="str">
        <x:v>Substantive</x:v>
      </x:c>
    </x:row>
    <x:row r="88" ht="116.25" customHeight="1">
      <x:c r="A88" s="8" t="str">
        <x:v>F2-11</x:v>
      </x:c>
      <x:c r="B88" s="33" t="str">
        <x:v>female</x:v>
      </x:c>
      <x:c r="C88" s="8" t="str">
        <x:v>Breadth of concurrent responsibilities described as successfully managed</x:v>
      </x:c>
      <x:c r="D88" s="8" t="str">
        <x:v>Single domain or modest set of own tasks managed</x:v>
      </x:c>
      <x:c r="E88" s="34" t="n">
        <x:v>1</x:v>
      </x:c>
      <x:c r="F88" s="8" t="str">
        <x:v>I keep all of my work detailed in my calendar
I know exactly when my deadlines are
very set schedule for every single day
knowing exactly what tasks need to be completed
I have never fallen behind in a class
never been concerned about getting tasks done in time
rough draft completed weeks in advance</x:v>
      </x:c>
      <x:c r="G88" s="8" t="str">
        <x:v>The participant describes their organization as handling one job's tasks, their own daily schedule, or their own workspace and materials (e.g., a diary to manage my work, a to-do list to cover what I need to cover, keeping a professional workspace organized) without describing multiple concurrent streams of responsibility, and without reporting failure or slippage in that domain.</x:v>
      </x:c>
      <x:c r="H88" s="22" t="n">
        <x:v>57</x:v>
      </x:c>
      <x:c r="I88" s="22" t="n">
        <x:v>216</x:v>
      </x:c>
      <x:c r="J88" s="35" t="str">
        <x:v>902</x:v>
      </x:c>
      <x:c r="K88" s="8" t="str">
        <x:v>Training</x:v>
      </x:c>
      <x:c r="L88" s="8" t="str">
        <x:v>Exact quotation; saved under the selected category.</x:v>
      </x:c>
      <x:c r="M88" s="8" t="str">
        <x:v>Substantive</x:v>
      </x:c>
    </x:row>
    <x:row r="89" ht="73.5" customHeight="1">
      <x:c r="A89" s="27" t="str">
        <x:v>F2-11</x:v>
      </x:c>
      <x:c r="B89" s="28" t="str">
        <x:v>female</x:v>
      </x:c>
      <x:c r="C89" s="27" t="str">
        <x:v>Breadth of concurrent responsibilities described as successfully managed</x:v>
      </x:c>
      <x:c r="D89" s="27" t="str">
        <x:v>Responsibilities described as unmet, overwhelming, or drawing criticism</x:v>
      </x:c>
      <x:c r="E89" s="29" t="n">
        <x:v>-2</x:v>
      </x:c>
      <x:c r="F89" s="27" t="str">
        <x:v>I struggle with organistation, this includes cooking
I always feel like im just chasing tasks
This has a negative impact at work</x:v>
      </x:c>
      <x:c r="G89" s="27" t="str">
        <x:v>The participant describes responsibilities slipping or exceeding their capacity: always feeling like they are chasing tasks that need to be completed, a stated negative impact at work, receiving constructive criticism at a job due to lack of organization, difficulty being proactive with basic cleaning and organizing, or barely keeping on top of basics like cooking, remembering to eat, cleaning, or paying bills.</x:v>
      </x:c>
      <x:c r="H89" s="31" t="n">
        <x:v>8</x:v>
      </x:c>
      <x:c r="I89" s="31" t="n">
        <x:v>37</x:v>
      </x:c>
      <x:c r="J89" s="32" t="str">
        <x:v>823</x:v>
      </x:c>
      <x:c r="K89" s="27" t="str">
        <x:v>Training</x:v>
      </x:c>
      <x:c r="L89" s="27" t="str">
        <x:v>Exact quotation; saved under the selected category.</x:v>
      </x:c>
      <x:c r="M89" s="27" t="str">
        <x:v>Substantive</x:v>
      </x:c>
    </x:row>
    <x:row r="90" ht="87.75" customHeight="1">
      <x:c r="A90" s="8" t="str">
        <x:v>F2-11</x:v>
      </x:c>
      <x:c r="B90" s="33" t="str">
        <x:v>female</x:v>
      </x:c>
      <x:c r="C90" s="8" t="str">
        <x:v>Breadth of concurrent responsibilities described as successfully managed</x:v>
      </x:c>
      <x:c r="D90" s="8" t="str">
        <x:v>Not applicable</x:v>
      </x:c>
      <x:c r="E90" s="34" t="n">
        <x:v>0</x:v>
      </x:c>
      <x:c r="F90" s="8" t="str">
        <x:v>I like to have a place for everything and to put everything in its place.
Having an organized clean work station is important to me.
When i am going to cook the kitchen needs to be clean and tidy.
I am more productive and can stay on task when I am working in an organized and clean space.</x:v>
      </x:c>
      <x:c r="G90" s="8" t="str">
        <x:v>The interview describes only the participant's standards, preferences, self-assessment, or the state of their space, with no mention of any responsibilities, workload, obligations, or tasks they need to manage, so no managed scope can be observed. Do not infer unmanaged responsibilities from silence.</x:v>
      </x:c>
      <x:c r="H90" s="22" t="n">
        <x:v>9</x:v>
      </x:c>
      <x:c r="I90" s="22" t="n">
        <x:v>42</x:v>
      </x:c>
      <x:c r="J90" s="35" t="str">
        <x:v>464</x:v>
      </x:c>
      <x:c r="K90" s="8" t="str">
        <x:v>Training</x:v>
      </x:c>
      <x:c r="L90" s="8" t="str">
        <x:v>Exact quotation; saved under the selected category.</x:v>
      </x:c>
      <x:c r="M90" s="8" t="str">
        <x:v>Not applicable</x:v>
      </x:c>
    </x:row>
    <x:row r="91" ht="58.5" customHeight="1">
      <x:c r="A91" s="27" t="str">
        <x:v>F2-11</x:v>
      </x:c>
      <x:c r="B91" s="28" t="str">
        <x:v>female</x:v>
      </x:c>
      <x:c r="C91" s="27" t="str">
        <x:v>Breadth of concurrent responsibilities described as successfully managed</x:v>
      </x:c>
      <x:c r="D91" s="27" t="str">
        <x:v>Uncertain</x:v>
      </x:c>
      <x:c r="E91" s="29" t="n">
        <x:v>0</x:v>
      </x:c>
      <x:c r="F91" s="27" t="str">
        <x:v>There are other times when I can let things pile up</x:v>
      </x:c>
      <x:c r="G91" s="27" t="str">
        <x:v>The interview mentions responsibilities or workload only in passing, or gives mixed evidence, such as claiming to handle multiple streams while also describing slippage or criticism in a way that cannot be resolved.</x:v>
      </x:c>
      <x:c r="H91" s="31" t="n">
        <x:v>4</x:v>
      </x:c>
      <x:c r="I91" s="31" t="n">
        <x:v>19</x:v>
      </x:c>
      <x:c r="J91" s="32" t="str">
        <x:v>662</x:v>
      </x:c>
      <x:c r="K91" s="27" t="str">
        <x:v>Training</x:v>
      </x:c>
      <x:c r="L91" s="27" t="str">
        <x:v>Exact quotation; saved under the selected category.</x:v>
      </x:c>
      <x:c r="M91" s="27" t="str">
        <x:v>Uncertain</x:v>
      </x:c>
    </x:row>
    <x:row r="92" ht="58.5" customHeight="1">
      <x:c r="A92" s="8" t="str">
        <x:v>F2-11</x:v>
      </x:c>
      <x:c r="B92" s="33" t="str">
        <x:v>female</x:v>
      </x:c>
      <x:c r="C92" s="8" t="str">
        <x:v>Breadth of concurrent responsibilities described as successfully managed</x:v>
      </x:c>
      <x:c r="D92" s="8" t="str">
        <x:v>[Invalid response: zero fallback]</x:v>
      </x:c>
      <x:c r="E92" s="34" t="n">
        <x:v>0</x:v>
      </x:c>
      <x:c r="F92" s="8" t="str"/>
      <x:c r="G92" s="8" t="str">
        <x:v>The completed rating failed validation or did not match a valid response category. The saved pipeline assigned a flagged zero. This is a processing fallback, not a generated category.</x:v>
      </x:c>
      <x:c r="H92" s="22" t="n">
        <x:v>0</x:v>
      </x:c>
      <x:c r="I92" s="22" t="n">
        <x:v>1</x:v>
      </x:c>
      <x:c r="J92" s="35" t="str"/>
      <x:c r="K92" s="8" t="str"/>
      <x:c r="L92" s="8" t="str">
        <x:v>No category quotation is assigned to invalid responses.</x:v>
      </x:c>
      <x:c r="M92" s="8" t="str">
        <x:v>Invalid fallback</x:v>
      </x:c>
    </x:row>
    <x:row r="93" ht="87.75" customHeight="1">
      <x:c r="A93" s="36" t="str">
        <x:v>M2-09</x:v>
      </x:c>
      <x:c r="B93" s="37" t="str">
        <x:v>male</x:v>
      </x:c>
      <x:c r="C93" s="36" t="str">
        <x:v>Interpersonal scope of organization: managing commitments involving other people</x:v>
      </x:c>
      <x:c r="D93" s="36" t="str">
        <x:v>Self-only organization</x:v>
      </x:c>
      <x:c r="E93" s="38" t="n">
        <x:v>-2</x:v>
      </x:c>
      <x:c r="F93" s="36" t="str">
        <x:v>my desk seems cluttered i know where everything is
worked with tools on a work bench the same way</x:v>
      </x:c>
      <x:c r="G93" s="36" t="str">
        <x:v>The participant describes organization only in relation to their own person: their own desk, files, folders, belongings, uniform, personal convenience, or personal feelings, with no mention of any task, schedule, or obligation involving another person. Examples: 'I try to keep things in place so I can find them'; 'my desk seems cluttered but I know where everything is'; forgetting one's own headset or ID and feeling annoyed; keeping a tidy workspace to stay focused.</x:v>
      </x:c>
      <x:c r="H93" s="39" t="n">
        <x:v>37</x:v>
      </x:c>
      <x:c r="I93" s="39" t="n">
        <x:v>168</x:v>
      </x:c>
      <x:c r="J93" s="40" t="str">
        <x:v>244</x:v>
      </x:c>
      <x:c r="K93" s="36" t="str">
        <x:v>Training</x:v>
      </x:c>
      <x:c r="L93" s="36" t="str">
        <x:v>Exact quotation; saved under the selected category.</x:v>
      </x:c>
      <x:c r="M93" s="36" t="str">
        <x:v>Substantive</x:v>
      </x:c>
    </x:row>
    <x:row r="94" ht="73.5" customHeight="1">
      <x:c r="A94" s="8" t="str">
        <x:v>M2-09</x:v>
      </x:c>
      <x:c r="B94" s="33" t="str">
        <x:v>male</x:v>
      </x:c>
      <x:c r="C94" s="8" t="str">
        <x:v>Interpersonal scope of organization: managing commitments involving other people</x:v>
      </x:c>
      <x:c r="D94" s="8" t="str">
        <x:v>Personal obligations without interpersonal coordination</x:v>
      </x:c>
      <x:c r="E94" s="34" t="n">
        <x:v>-1</x:v>
      </x:c>
      <x:c r="F94" s="8" t="str">
        <x:v>I always meet deadlines and due date
I plan all my projects based on when they are due
I start working on the soonest due first</x:v>
      </x:c>
      <x:c r="G94" s="8" t="str">
        <x:v>The participant describes meeting their own deadlines, projects, schoolwork, or work duties, but these are framed purely as individual obligations with no mention of coordinating with, delivering to, or being relied on by other people. Examples: 'I always meet deadlines and plan all my projects based on when they are due'; 'I keep a list of tasks I have to carry out'; finishing one's own work sooner or more efficiently.</x:v>
      </x:c>
      <x:c r="H94" s="22" t="n">
        <x:v>28</x:v>
      </x:c>
      <x:c r="I94" s="22" t="n">
        <x:v>105</x:v>
      </x:c>
      <x:c r="J94" s="35" t="str">
        <x:v>851</x:v>
      </x:c>
      <x:c r="K94" s="8" t="str">
        <x:v>Training</x:v>
      </x:c>
      <x:c r="L94" s="8" t="str">
        <x:v>Exact quotation; saved under the selected category.</x:v>
      </x:c>
      <x:c r="M94" s="8" t="str">
        <x:v>Substantive</x:v>
      </x:c>
    </x:row>
    <x:row r="95" ht="87.75" customHeight="1">
      <x:c r="A95" s="27" t="str">
        <x:v>M2-09</x:v>
      </x:c>
      <x:c r="B95" s="28" t="str">
        <x:v>male</x:v>
      </x:c>
      <x:c r="C95" s="27" t="str">
        <x:v>Interpersonal scope of organization: managing commitments involving other people</x:v>
      </x:c>
      <x:c r="D95" s="27" t="str">
        <x:v>Interpersonal coordination of shared commitments</x:v>
      </x:c>
      <x:c r="E95" s="29" t="n">
        <x:v>1</x:v>
      </x:c>
      <x:c r="F95" s="27" t="str">
        <x:v>often asked to keep the team on track during meetings
so we don't waste time
use technology and apps to help keep me on track with schedules</x:v>
      </x:c>
      <x:c r="G95" s="27" t="str">
        <x:v>The participant describes organizing around commitments that involve other people's schedules or activities, such as tracking meetings, synchronizing with a team's schedule, or helping keep others on task, without claiming primary responsibility for the group's results. Examples: 'I maintain a calendar with all of my meetings laid out'; 'I am often asked to keep the team on track during meetings so we don't waste time'; organizing team members toward shared targets.</x:v>
      </x:c>
      <x:c r="H95" s="31" t="n">
        <x:v>8</x:v>
      </x:c>
      <x:c r="I95" s="31" t="n">
        <x:v>29</x:v>
      </x:c>
      <x:c r="J95" s="32" t="str">
        <x:v>371</x:v>
      </x:c>
      <x:c r="K95" s="27" t="str">
        <x:v>Training</x:v>
      </x:c>
      <x:c r="L95" s="27" t="str">
        <x:v>Exact quotation; saved under the selected category.</x:v>
      </x:c>
      <x:c r="M95" s="27" t="str">
        <x:v>Substantive</x:v>
      </x:c>
    </x:row>
    <x:row r="96" ht="87.75" customHeight="1">
      <x:c r="A96" s="8" t="str">
        <x:v>M2-09</x:v>
      </x:c>
      <x:c r="B96" s="33" t="str">
        <x:v>male</x:v>
      </x:c>
      <x:c r="C96" s="8" t="str">
        <x:v>Interpersonal scope of organization: managing commitments involving other people</x:v>
      </x:c>
      <x:c r="D96" s="8" t="str">
        <x:v>Accountability for others' outcomes</x:v>
      </x:c>
      <x:c r="E96" s="34" t="n">
        <x:v>2</x:v>
      </x:c>
      <x:c r="F96" s="8" t="str">
        <x:v>assignment at work for me to order more parts
use some notes and records I made to order the parts
it made everyone at the job happy that I was organzied</x:v>
      </x:c>
      <x:c r="G96" s="8" t="str">
        <x:v>The participant describes taking responsibility for delivering results that others depend on or protecting others from the consequences of their own errors, often at personal cost. Examples: 'when we are assigned a project I make sure we get it delivered without errors or mistakes'; using one's notes and records to fulfill a parts order so everyone at the job benefits; spending many hours searching for a lost material so the customer did not have to be refunded; reviewing a program for fails so the team could fix errors.</x:v>
      </x:c>
      <x:c r="H96" s="22" t="n">
        <x:v>8</x:v>
      </x:c>
      <x:c r="I96" s="22" t="n">
        <x:v>16</x:v>
      </x:c>
      <x:c r="J96" s="35" t="str">
        <x:v>195</x:v>
      </x:c>
      <x:c r="K96" s="8" t="str">
        <x:v>Training</x:v>
      </x:c>
      <x:c r="L96" s="8" t="str">
        <x:v>Exact quotation; saved under the selected category.</x:v>
      </x:c>
      <x:c r="M96" s="8" t="str">
        <x:v>Substantive</x:v>
      </x:c>
    </x:row>
    <x:row r="97" ht="59.25" customHeight="1">
      <x:c r="A97" s="27" t="str">
        <x:v>M2-09</x:v>
      </x:c>
      <x:c r="B97" s="28" t="str">
        <x:v>male</x:v>
      </x:c>
      <x:c r="C97" s="27" t="str">
        <x:v>Interpersonal scope of organization: managing commitments involving other people</x:v>
      </x:c>
      <x:c r="D97" s="27" t="str">
        <x:v>Uncertain</x:v>
      </x:c>
      <x:c r="E97" s="29" t="n">
        <x:v>0</x:v>
      </x:c>
      <x:c r="F97" s="27" t="str">
        <x:v>In my workplace I am known to be the best worker who organize things properly</x:v>
      </x:c>
      <x:c r="G97" s="27" t="str">
        <x:v>The interview gives mixed or ambiguous evidence about whether the participant's organization extends to interpersonal commitments, such as mentioning other people in a way that could be either mere context or genuine coordination, or too little detail to judge whose obligations are being managed.</x:v>
      </x:c>
      <x:c r="H97" s="31" t="n">
        <x:v>3</x:v>
      </x:c>
      <x:c r="I97" s="31" t="n">
        <x:v>19</x:v>
      </x:c>
      <x:c r="J97" s="32" t="str">
        <x:v>96</x:v>
      </x:c>
      <x:c r="K97" s="27" t="str">
        <x:v>Training</x:v>
      </x:c>
      <x:c r="L97" s="27" t="str">
        <x:v>Exact quotation; saved under the selected category.</x:v>
      </x:c>
      <x:c r="M97" s="27" t="str">
        <x:v>Uncertain</x:v>
      </x:c>
    </x:row>
    <x:row r="98" ht="59.25" customHeight="1">
      <x:c r="A98" s="8" t="str">
        <x:v>M2-09</x:v>
      </x:c>
      <x:c r="B98" s="33" t="str">
        <x:v>male</x:v>
      </x:c>
      <x:c r="C98" s="8" t="str">
        <x:v>Interpersonal scope of organization: managing commitments involving other people</x:v>
      </x:c>
      <x:c r="D98" s="8" t="str">
        <x:v>Not applicable</x:v>
      </x:c>
      <x:c r="E98" s="34" t="n">
        <x:v>0</x:v>
      </x:c>
      <x:c r="F98" s="8" t="str">
        <x:v>An organized person is likely to excel in managing their time efficiently
They set priorities, create schedules, and adhere to deadlines
Organized individuals have a knack for identifing and prioritizing tasks</x:v>
      </x:c>
      <x:c r="G98" s="8" t="str">
        <x:v>The interview does not describe any of the participant's own organizational behavior or obligations (e.g., only general opinions about what organized people do, or content unrelated to the participant's organization), so there is no relevant evidence to judge this behavior.</x:v>
      </x:c>
      <x:c r="H98" s="22" t="n">
        <x:v>2</x:v>
      </x:c>
      <x:c r="I98" s="22" t="n">
        <x:v>5</x:v>
      </x:c>
      <x:c r="J98" s="35" t="str">
        <x:v>250</x:v>
      </x:c>
      <x:c r="K98" s="8" t="str">
        <x:v>Training</x:v>
      </x:c>
      <x:c r="L98" s="8" t="str">
        <x:v>Exact quotation; saved under the selected category.</x:v>
      </x:c>
      <x:c r="M98" s="8" t="str">
        <x:v>Not applicable</x:v>
      </x:c>
    </x:row>
    <x:row r="99" ht="58.5" customHeight="1">
      <x:c r="A99" s="27" t="str">
        <x:v>M2-09</x:v>
      </x:c>
      <x:c r="B99" s="28" t="str">
        <x:v>male</x:v>
      </x:c>
      <x:c r="C99" s="27" t="str">
        <x:v>Interpersonal scope of organization: managing commitments involving other people</x:v>
      </x:c>
      <x:c r="D99" s="27" t="str">
        <x:v>[Invalid response: zero fallback]</x:v>
      </x:c>
      <x:c r="E99" s="29" t="n">
        <x:v>0</x:v>
      </x:c>
      <x:c r="F99" s="27" t="str"/>
      <x:c r="G99" s="27" t="str">
        <x:v>The completed rating failed validation or did not match a valid response category. The saved pipeline assigned a flagged zero. This is a processing fallback, not a generated category.</x:v>
      </x:c>
      <x:c r="H99" s="31" t="n">
        <x:v>0</x:v>
      </x:c>
      <x:c r="I99" s="31" t="n">
        <x:v>3</x:v>
      </x:c>
      <x:c r="J99" s="32" t="str"/>
      <x:c r="K99" s="27" t="str"/>
      <x:c r="L99" s="27" t="str">
        <x:v>No category quotation is assigned to invalid responses.</x:v>
      </x:c>
      <x:c r="M99" s="27" t="str">
        <x:v>Invalid fallback</x:v>
      </x:c>
    </x:row>
    <x:row r="100" ht="30" customHeight="1">
      <x:c r="A100" s="26" t="str">
        <x:v>8. Psychological functions of organization. F2-12 and M2-07. Related; opposite orientation of coding.</x:v>
      </x:c>
      <x:c r="B100" s="26"/>
      <x:c r="C100" s="26"/>
      <x:c r="D100" s="26"/>
      <x:c r="E100" s="26"/>
      <x:c r="F100" s="26"/>
      <x:c r="G100" s="26"/>
      <x:c r="H100" s="26"/>
      <x:c r="I100" s="26"/>
      <x:c r="J100" s="26"/>
      <x:c r="K100" s="26"/>
      <x:c r="L100" s="26"/>
      <x:c r="M100" s="26"/>
    </x:row>
    <x:row r="101" ht="130.5" customHeight="1">
      <x:c r="A101" s="36" t="str">
        <x:v>F2-12</x:v>
      </x:c>
      <x:c r="B101" s="37" t="str">
        <x:v>female</x:v>
      </x:c>
      <x:c r="C101" s="36" t="str">
        <x:v>Organization framed as regulation of one's own emotional or psychological state</x:v>
      </x:c>
      <x:c r="D101" s="36" t="str">
        <x:v>No emotional or psychological function of organization described</x:v>
      </x:c>
      <x:c r="E101" s="38" t="n">
        <x:v>2</x:v>
      </x:c>
      <x:c r="F101" s="36" t="str">
        <x:v>need to leave a good impression on my boss
know where everything is that I will need
help clients efficiently
professional, organized work space</x:v>
      </x:c>
      <x:c r="G101" s="36" t="str">
        <x:v>The participant frames organization entirely in terms of tasks, deadlines, goals, workload, efficiency, professionalism, serving clients or colleagues, or describes practices and standards without stating any function at all, and makes no claim that being organized changes how they feel. Examples: 'ensure that I meet all my set goals', 'know exactly where to go when I need specific information quickly', 'need to leave a good impression on my boss', 'allows me to get a lot more done', or describing a schedule, binders, or desk system with no emotional rationale. Note: a strong stated aversion to disorder as a standard or preference ('I hate disorder almost to a ridiculous level', 'I do not like being unorganised') counts here, because it expresses the intensity of a standard rather than a claimed psychological benefit of organization.</x:v>
      </x:c>
      <x:c r="H101" s="39" t="n">
        <x:v>58</x:v>
      </x:c>
      <x:c r="I101" s="39" t="n">
        <x:v>280</x:v>
      </x:c>
      <x:c r="J101" s="40" t="str">
        <x:v>9</x:v>
      </x:c>
      <x:c r="K101" s="36" t="str">
        <x:v>Training</x:v>
      </x:c>
      <x:c r="L101" s="36" t="str">
        <x:v>Exact quotation; saved under the selected category.</x:v>
      </x:c>
      <x:c r="M101" s="36" t="str">
        <x:v>Substantive</x:v>
      </x:c>
    </x:row>
    <x:row r="102" ht="73.5" customHeight="1">
      <x:c r="A102" s="8" t="str">
        <x:v>F2-12</x:v>
      </x:c>
      <x:c r="B102" s="33" t="str">
        <x:v>female</x:v>
      </x:c>
      <x:c r="C102" s="8" t="str">
        <x:v>Organization framed as regulation of one's own emotional or psychological state</x:v>
      </x:c>
      <x:c r="D102" s="8" t="str">
        <x:v>Passing internal-state reference</x:v>
      </x:c>
      <x:c r="E102" s="34" t="n">
        <x:v>1</x:v>
      </x:c>
      <x:c r="F102" s="8" t="str">
        <x:v>having clutter is chaotic for me</x:v>
      </x:c>
      <x:c r="G102" s="8" t="str">
        <x:v>The participant briefly mentions that order or disorder affects how they feel internally (e.g., 'having clutter is chaotic for me', finding mess unpleasant or stressful in passing) without making emotional management the central rationale for why they organize; the bulk of the account concerns tasks, practices, standards, or preferences.</x:v>
      </x:c>
      <x:c r="H102" s="22" t="n">
        <x:v>21</x:v>
      </x:c>
      <x:c r="I102" s="22" t="n">
        <x:v>69</x:v>
      </x:c>
      <x:c r="J102" s="35" t="str">
        <x:v>537</x:v>
      </x:c>
      <x:c r="K102" s="8" t="str">
        <x:v>Training</x:v>
      </x:c>
      <x:c r="L102" s="8" t="str">
        <x:v>Exact quotation; saved under the selected category.</x:v>
      </x:c>
      <x:c r="M102" s="8" t="str">
        <x:v>Substantive</x:v>
      </x:c>
    </x:row>
    <x:row r="103" ht="59.25" customHeight="1">
      <x:c r="A103" s="27" t="str">
        <x:v>F2-12</x:v>
      </x:c>
      <x:c r="B103" s="28" t="str">
        <x:v>female</x:v>
      </x:c>
      <x:c r="C103" s="27" t="str">
        <x:v>Organization framed as regulation of one's own emotional or psychological state</x:v>
      </x:c>
      <x:c r="D103" s="27" t="str">
        <x:v>Uncertain</x:v>
      </x:c>
      <x:c r="E103" s="29" t="n">
        <x:v>0</x:v>
      </x:c>
      <x:c r="F103" s="27" t="str"/>
      <x:c r="G103" s="27" t="str">
        <x:v>The interview is too brief to determine whether any emotional function is claimed, or gives mixed evidence, such as pairing task- or efficiency-based justifications with ambiguous internal-state remarks that cannot be resolved as passing or central.</x:v>
      </x:c>
      <x:c r="H103" s="31" t="n">
        <x:v>0</x:v>
      </x:c>
      <x:c r="I103" s="31" t="n">
        <x:v>0</x:v>
      </x:c>
      <x:c r="J103" s="32" t="str"/>
      <x:c r="K103" s="27" t="str"/>
      <x:c r="L103" s="27" t="str">
        <x:v>No participant received this category in training or holdout.</x:v>
      </x:c>
      <x:c r="M103" s="27" t="str">
        <x:v>Uncertain</x:v>
      </x:c>
    </x:row>
    <x:row r="104" ht="116.25" customHeight="1">
      <x:c r="A104" s="8" t="str">
        <x:v>F2-12</x:v>
      </x:c>
      <x:c r="B104" s="33" t="str">
        <x:v>female</x:v>
      </x:c>
      <x:c r="C104" s="8" t="str">
        <x:v>Organization framed as regulation of one's own emotional or psychological state</x:v>
      </x:c>
      <x:c r="D104" s="8" t="str">
        <x:v>Central emotional-regulation function</x:v>
      </x:c>
      <x:c r="E104" s="34" t="n">
        <x:v>-1</x:v>
      </x:c>
      <x:c r="F104" s="8" t="str">
        <x:v>keeping a clean organized home is very important to your mental health
It is very depressing and stressful to have mess and clutter
I don't want my children to feel that way about our home</x:v>
      </x:c>
      <x:c r="G104" s="8" t="str">
        <x:v>The participant explicitly presents organization as managing their own or their family's psychological state: reducing stress or anxiety ('when I am organized I stress less and have less anxiety. If I do not have things organized it just makes me stress'), protecting mental health ('keeping a clean organized home is very important to your mental health', 'it is very depressing and stressful to have mess and clutter everywhere'), organizing to prevent children from experiencing distress about the home, or attributing the organizing behavior itself to a psychological condition such as describing themselves as 'very OCD' about their work. Emotional-state management is a main stated function, not a passing remark.</x:v>
      </x:c>
      <x:c r="H104" s="22" t="n">
        <x:v>11</x:v>
      </x:c>
      <x:c r="I104" s="22" t="n">
        <x:v>14</x:v>
      </x:c>
      <x:c r="J104" s="35" t="str">
        <x:v>442</x:v>
      </x:c>
      <x:c r="K104" s="8" t="str">
        <x:v>Training</x:v>
      </x:c>
      <x:c r="L104" s="8" t="str">
        <x:v>Exact quotation; saved under the selected category.</x:v>
      </x:c>
      <x:c r="M104" s="8" t="str">
        <x:v>Substantive</x:v>
      </x:c>
    </x:row>
    <x:row r="105" ht="58.5" customHeight="1">
      <x:c r="A105" s="27" t="str">
        <x:v>F2-12</x:v>
      </x:c>
      <x:c r="B105" s="28" t="str">
        <x:v>female</x:v>
      </x:c>
      <x:c r="C105" s="27" t="str">
        <x:v>Organization framed as regulation of one's own emotional or psychological state</x:v>
      </x:c>
      <x:c r="D105" s="27" t="str">
        <x:v>[Invalid response: zero fallback]</x:v>
      </x:c>
      <x:c r="E105" s="29" t="n">
        <x:v>0</x:v>
      </x:c>
      <x:c r="F105" s="27" t="str"/>
      <x:c r="G105" s="27" t="str">
        <x:v>The completed rating failed validation or did not match a valid response category. The saved pipeline assigned a flagged zero. This is a processing fallback, not a generated category.</x:v>
      </x:c>
      <x:c r="H105" s="31" t="n">
        <x:v>2</x:v>
      </x:c>
      <x:c r="I105" s="31" t="n">
        <x:v>7</x:v>
      </x:c>
      <x:c r="J105" s="32" t="str"/>
      <x:c r="K105" s="27" t="str"/>
      <x:c r="L105" s="27" t="str">
        <x:v>No category quotation is assigned to invalid responses.</x:v>
      </x:c>
      <x:c r="M105" s="27" t="str">
        <x:v>Invalid fallback</x:v>
      </x:c>
    </x:row>
    <x:row r="106" ht="73.5" customHeight="1">
      <x:c r="A106" s="36" t="str">
        <x:v>M2-07</x:v>
      </x:c>
      <x:c r="B106" s="37" t="str">
        <x:v>male</x:v>
      </x:c>
      <x:c r="C106" s="36" t="str">
        <x:v>Nature of consequences attributed to organization</x:v>
      </x:c>
      <x:c r="D106" s="36" t="str">
        <x:v>No stated benefits</x:v>
      </x:c>
      <x:c r="E106" s="38" t="n">
        <x:v>-2</x:v>
      </x:c>
      <x:c r="F106" s="36" t="str">
        <x:v>There is a place for everything and everything will be in it's place
I am very much OCD about things not being where they are suppose to be
I work from home so this impacts both my behavior at work and home simultaneously</x:v>
      </x:c>
      <x:c r="G106" s="36" t="str">
        <x:v>Participant describes being organized or their organizational habits but attributes no consequences, benefits, or effects to it, whether positive or negative. Examples: describing knowing where one's belongings are and valuing personal accountability without claiming any impact on work, school, or wellbeing; stating a preference for order with no described payoff.</x:v>
      </x:c>
      <x:c r="H106" s="39" t="n">
        <x:v>26</x:v>
      </x:c>
      <x:c r="I106" s="39" t="n">
        <x:v>115</x:v>
      </x:c>
      <x:c r="J106" s="40" t="str">
        <x:v>539</x:v>
      </x:c>
      <x:c r="K106" s="36" t="str">
        <x:v>Training</x:v>
      </x:c>
      <x:c r="L106" s="36" t="str">
        <x:v>Exact quotation; saved under the selected category.</x:v>
      </x:c>
      <x:c r="M106" s="36" t="str">
        <x:v>Substantive</x:v>
      </x:c>
    </x:row>
    <x:row r="107" ht="87.75" customHeight="1">
      <x:c r="A107" s="8" t="str">
        <x:v>M2-07</x:v>
      </x:c>
      <x:c r="B107" s="33" t="str">
        <x:v>male</x:v>
      </x:c>
      <x:c r="C107" s="8" t="str">
        <x:v>Nature of consequences attributed to organization</x:v>
      </x:c>
      <x:c r="D107" s="8" t="str">
        <x:v>External or comparative benefits only</x:v>
      </x:c>
      <x:c r="E107" s="34" t="n">
        <x:v>-1</x:v>
      </x:c>
      <x:c r="F107" s="8" t="str">
        <x:v>I get nice reviews frequently return emails
able to interact with the principles or with the secretaries
I can leave a nice email for the teacher</x:v>
      </x:c>
      <x:c r="G107" s="8" t="str">
        <x:v>Any benefits described are external outcomes or social comparisons rather than the participant's own internal state or task performance. Examples: 'my behavior is more professional than some other people who may not be organized'; 'I am always admired'; a boss's admiration leading to a recommendation for a top position; nice reviews or return emails from teachers; getting a good grade or career advancement credited to organization.</x:v>
      </x:c>
      <x:c r="H107" s="22" t="n">
        <x:v>11</x:v>
      </x:c>
      <x:c r="I107" s="22" t="n">
        <x:v>28</x:v>
      </x:c>
      <x:c r="J107" s="35" t="str">
        <x:v>243</x:v>
      </x:c>
      <x:c r="K107" s="8" t="str">
        <x:v>Training</x:v>
      </x:c>
      <x:c r="L107" s="8" t="str">
        <x:v>Exact quotation; saved under the selected category.</x:v>
      </x:c>
      <x:c r="M107" s="8" t="str">
        <x:v>Substantive</x:v>
      </x:c>
    </x:row>
    <x:row r="108" ht="58.5" customHeight="1">
      <x:c r="A108" s="27" t="str">
        <x:v>M2-07</x:v>
      </x:c>
      <x:c r="B108" s="28" t="str">
        <x:v>male</x:v>
      </x:c>
      <x:c r="C108" s="27" t="str">
        <x:v>Nature of consequences attributed to organization</x:v>
      </x:c>
      <x:c r="D108" s="27" t="str">
        <x:v>Uncertain</x:v>
      </x:c>
      <x:c r="E108" s="29" t="n">
        <x:v>0</x:v>
      </x:c>
      <x:c r="F108" s="27" t="str">
        <x:v>caught off guard by not having the information I need</x:v>
      </x:c>
      <x:c r="G108" s="27" t="str">
        <x:v>The interview gives mixed or ambiguous evidence about the type of consequence, such as benefits that could be read as either efficiency or psychological wellbeing, or claims whose meaning is too unclear to classify.</x:v>
      </x:c>
      <x:c r="H108" s="31" t="n">
        <x:v>2</x:v>
      </x:c>
      <x:c r="I108" s="31" t="n">
        <x:v>17</x:v>
      </x:c>
      <x:c r="J108" s="32" t="str">
        <x:v>795</x:v>
      </x:c>
      <x:c r="K108" s="27" t="str">
        <x:v>Training</x:v>
      </x:c>
      <x:c r="L108" s="27" t="str">
        <x:v>Exact quotation; saved under the selected category.</x:v>
      </x:c>
      <x:c r="M108" s="27" t="str">
        <x:v>Uncertain</x:v>
      </x:c>
    </x:row>
    <x:row r="109" ht="58.5" customHeight="1">
      <x:c r="A109" s="8" t="str">
        <x:v>M2-07</x:v>
      </x:c>
      <x:c r="B109" s="33" t="str">
        <x:v>male</x:v>
      </x:c>
      <x:c r="C109" s="8" t="str">
        <x:v>Nature of consequences attributed to organization</x:v>
      </x:c>
      <x:c r="D109" s="8" t="str">
        <x:v>Not applicable</x:v>
      </x:c>
      <x:c r="E109" s="34" t="n">
        <x:v>0</x:v>
      </x:c>
      <x:c r="F109" s="8" t="str">
        <x:v>An organized person is likely to excel in managing their time efficiently
Organized individuals have a knack for identifing and prioritizing tasks</x:v>
      </x:c>
      <x:c r="G109" s="8" t="str">
        <x:v>The interview does not include any self-description of the participant's own organization or its effects (e.g., only general opinions about what organized people do), so there is no relevant evidence to judge.</x:v>
      </x:c>
      <x:c r="H109" s="22" t="n">
        <x:v>1</x:v>
      </x:c>
      <x:c r="I109" s="22" t="n">
        <x:v>2</x:v>
      </x:c>
      <x:c r="J109" s="35" t="str">
        <x:v>250</x:v>
      </x:c>
      <x:c r="K109" s="8" t="str">
        <x:v>Training</x:v>
      </x:c>
      <x:c r="L109" s="8" t="str">
        <x:v>Exact quotation; saved under the selected category.</x:v>
      </x:c>
      <x:c r="M109" s="8" t="str">
        <x:v>Not applicable</x:v>
      </x:c>
    </x:row>
    <x:row r="110" ht="73.5" customHeight="1">
      <x:c r="A110" s="27" t="str">
        <x:v>M2-07</x:v>
      </x:c>
      <x:c r="B110" s="28" t="str">
        <x:v>male</x:v>
      </x:c>
      <x:c r="C110" s="27" t="str">
        <x:v>Nature of consequences attributed to organization</x:v>
      </x:c>
      <x:c r="D110" s="27" t="str">
        <x:v>Functional efficiency benefits</x:v>
      </x:c>
      <x:c r="E110" s="29" t="n">
        <x:v>1</x:v>
      </x:c>
      <x:c r="F110" s="27" t="str">
        <x:v>This allows me to find things quickly
be able to answer questions that arise easily
My performance and efficiency are higher</x:v>
      </x:c>
      <x:c r="G110" s="27" t="str">
        <x:v>Benefits described are concrete, task-level gains in the participant's own work or life without mention of emotional states or inability to function. Examples: 'I get work finished sooner'; 'it saves time during my day not searching for things'; 'allows me to find things quickly'; 'without any errors or mistakes'; spending hours searching so money did not have to be returned; keeping records so questions can be answered easily.</x:v>
      </x:c>
      <x:c r="H110" s="31" t="n">
        <x:v>33</x:v>
      </x:c>
      <x:c r="I110" s="31" t="n">
        <x:v>140</x:v>
      </x:c>
      <x:c r="J110" s="32" t="str">
        <x:v>657</x:v>
      </x:c>
      <x:c r="K110" s="27" t="str">
        <x:v>Training</x:v>
      </x:c>
      <x:c r="L110" s="27" t="str">
        <x:v>Exact quotation; saved under the selected category.</x:v>
      </x:c>
      <x:c r="M110" s="27" t="str">
        <x:v>Substantive</x:v>
      </x:c>
    </x:row>
    <x:row r="111" ht="59.25" customHeight="1">
      <x:c r="A111" s="8" t="str">
        <x:v>M2-07</x:v>
      </x:c>
      <x:c r="B111" s="33" t="str">
        <x:v>male</x:v>
      </x:c>
      <x:c r="C111" s="8" t="str">
        <x:v>Nature of consequences attributed to organization</x:v>
      </x:c>
      <x:c r="D111" s="8" t="str">
        <x:v>Psychological wellbeing benefits</x:v>
      </x:c>
      <x:c r="E111" s="34" t="n">
        <x:v>2</x:v>
      </x:c>
      <x:c r="F111" s="8" t="str">
        <x:v>leading me to being more confident and having less stress</x:v>
      </x:c>
      <x:c r="G111" s="8" t="str">
        <x:v>Benefits described include internal emotional or mental states that organization produces in the participant. Examples: 'leading me to being more confident and having less stress'; 'leads to a more calmer behaviour and a relaxed demeanour'; organization 'has given me self confidence'.</x:v>
      </x:c>
      <x:c r="H111" s="22" t="n">
        <x:v>8</x:v>
      </x:c>
      <x:c r="I111" s="22" t="n">
        <x:v>33</x:v>
      </x:c>
      <x:c r="J111" s="35" t="str">
        <x:v>118</x:v>
      </x:c>
      <x:c r="K111" s="8" t="str">
        <x:v>Training</x:v>
      </x:c>
      <x:c r="L111" s="8" t="str">
        <x:v>Exact quotation; saved under the selected category.</x:v>
      </x:c>
      <x:c r="M111" s="8" t="str">
        <x:v>Substantive</x:v>
      </x:c>
    </x:row>
    <x:row r="112" ht="73.5" customHeight="1">
      <x:c r="A112" s="27" t="str">
        <x:v>M2-07</x:v>
      </x:c>
      <x:c r="B112" s="28" t="str">
        <x:v>male</x:v>
      </x:c>
      <x:c r="C112" s="27" t="str">
        <x:v>Nature of consequences attributed to organization</x:v>
      </x:c>
      <x:c r="D112" s="27" t="str">
        <x:v>Organization as precondition for functioning</x:v>
      </x:c>
      <x:c r="E112" s="29" t="n">
        <x:v>3</x:v>
      </x:c>
      <x:c r="F112" s="27" t="str">
        <x:v>Without organization, people lose the ability to be productive
spend the majority of their time wandering aimlessly</x:v>
      </x:c>
      <x:c r="G112" s="27" t="str">
        <x:v>Organization is described as something the participant cannot operate or work without, or as essential to productivity itself. Examples: 'I really am unable to function unless I am organized'; 'it is vital that you are on top of things at all times'; 'without organization, people lose the ability to be productive since they spend the majority of their time wandering aimlessly'.</x:v>
      </x:c>
      <x:c r="H112" s="31" t="n">
        <x:v>4</x:v>
      </x:c>
      <x:c r="I112" s="31" t="n">
        <x:v>10</x:v>
      </x:c>
      <x:c r="J112" s="32" t="str">
        <x:v>843</x:v>
      </x:c>
      <x:c r="K112" s="27" t="str">
        <x:v>Training</x:v>
      </x:c>
      <x:c r="L112" s="27" t="str">
        <x:v>Exact quotation; saved under the selected category.</x:v>
      </x:c>
      <x:c r="M112" s="27" t="str">
        <x:v>Substantive</x:v>
      </x:c>
    </x:row>
    <x:row r="113" ht="58.5" customHeight="1">
      <x:c r="A113" s="8" t="str">
        <x:v>M2-07</x:v>
      </x:c>
      <x:c r="B113" s="33" t="str">
        <x:v>male</x:v>
      </x:c>
      <x:c r="C113" s="8" t="str">
        <x:v>Nature of consequences attributed to organization</x:v>
      </x:c>
      <x:c r="D113" s="8" t="str">
        <x:v>[Invalid response: zero fallback]</x:v>
      </x:c>
      <x:c r="E113" s="34" t="n">
        <x:v>0</x:v>
      </x:c>
      <x:c r="F113" s="8" t="str"/>
      <x:c r="G113" s="8" t="str">
        <x:v>The completed rating failed validation or did not match a valid response category. The saved pipeline assigned a flagged zero. This is a processing fallback, not a generated category.</x:v>
      </x:c>
      <x:c r="H113" s="22" t="n">
        <x:v>1</x:v>
      </x:c>
      <x:c r="I113" s="22" t="n">
        <x:v>0</x:v>
      </x:c>
      <x:c r="J113" s="35" t="str"/>
      <x:c r="K113" s="8" t="str"/>
      <x:c r="L113" s="8" t="str">
        <x:v>No category quotation is assigned to invalid responses.</x:v>
      </x:c>
      <x:c r="M113" s="8" t="str">
        <x:v>Invalid fallback</x:v>
      </x:c>
    </x:row>
    <x:row r="114" ht="30" customHeight="1">
      <x:c r="A114" s="26" t="str">
        <x:v>9. External recognition of organization. F2-15 and M2-03. Partial overlap.</x:v>
      </x:c>
      <x:c r="B114" s="26"/>
      <x:c r="C114" s="26"/>
      <x:c r="D114" s="26"/>
      <x:c r="E114" s="26"/>
      <x:c r="F114" s="26"/>
      <x:c r="G114" s="26"/>
      <x:c r="H114" s="26"/>
      <x:c r="I114" s="26"/>
      <x:c r="J114" s="26"/>
      <x:c r="K114" s="26"/>
      <x:c r="L114" s="26"/>
      <x:c r="M114" s="26"/>
    </x:row>
    <x:row r="115" ht="87.75" customHeight="1">
      <x:c r="A115" s="36" t="str">
        <x:v>F2-15</x:v>
      </x:c>
      <x:c r="B115" s="37" t="str">
        <x:v>female</x:v>
      </x:c>
      <x:c r="C115" s="36" t="str">
        <x:v>Third-party recognition versus sanction of the participant's organization</x:v>
      </x:c>
      <x:c r="D115" s="36" t="str">
        <x:v>External recognition or successful external evaluation</x:v>
      </x:c>
      <x:c r="E115" s="38" t="n">
        <x:v>2</x:v>
      </x:c>
      <x:c r="F115" s="36" t="str">
        <x:v>I have always been the most organized person in my family
others have noticed and commented on it</x:v>
      </x:c>
      <x:c r="G115" s="36" t="str">
        <x:v>The participant reports third parties positively acknowledging their organization, or an external evaluation of their work succeeding because of it. Examples: others noticing and commenting that the participant is the most organized person in the family; colleagues or supervisors praising their organization; an annual institutional audit or examination receiving successful ratings every year that the participant attributes to their careful organization; formal recognition tied to being organized.</x:v>
      </x:c>
      <x:c r="H115" s="39" t="n">
        <x:v>6</x:v>
      </x:c>
      <x:c r="I115" s="39" t="n">
        <x:v>20</x:v>
      </x:c>
      <x:c r="J115" s="40" t="str">
        <x:v>729</x:v>
      </x:c>
      <x:c r="K115" s="36" t="str">
        <x:v>Training</x:v>
      </x:c>
      <x:c r="L115" s="36" t="str">
        <x:v>Exact quotation; saved under the selected category.</x:v>
      </x:c>
      <x:c r="M115" s="36" t="str">
        <x:v>Substantive</x:v>
      </x:c>
    </x:row>
    <x:row r="116" ht="87.75" customHeight="1">
      <x:c r="A116" s="8" t="str">
        <x:v>F2-15</x:v>
      </x:c>
      <x:c r="B116" s="33" t="str">
        <x:v>female</x:v>
      </x:c>
      <x:c r="C116" s="8" t="str">
        <x:v>Third-party recognition versus sanction of the participant's organization</x:v>
      </x:c>
      <x:c r="D116" s="8" t="str">
        <x:v>External criticism or negative consequences from others</x:v>
      </x:c>
      <x:c r="E116" s="34" t="n">
        <x:v>-2</x:v>
      </x:c>
      <x:c r="F116" s="8" t="str">
        <x:v>had to be coached so I could try it again
which was embarrassing
I ended up doing very poorly on the project</x:v>
      </x:c>
      <x:c r="G116" s="8" t="str">
        <x:v>The participant reports others imposing negative consequences, correction, or embarrassment because of their disorganization. Examples: having to be coached by others so they could try a failed project again, which was embarrassing; getting in trouble at work for forgetting a task; receiving formal criticism or required remediation due to lack of organization. Purely self-assessed statements like 'this has a negative impact at work' with no other party's reaction described do not belong here.</x:v>
      </x:c>
      <x:c r="H116" s="22" t="n">
        <x:v>3</x:v>
      </x:c>
      <x:c r="I116" s="22" t="n">
        <x:v>7</x:v>
      </x:c>
      <x:c r="J116" s="35" t="str">
        <x:v>386</x:v>
      </x:c>
      <x:c r="K116" s="8" t="str">
        <x:v>Training</x:v>
      </x:c>
      <x:c r="L116" s="8" t="str">
        <x:v>Exact quotation; saved under the selected category.</x:v>
      </x:c>
      <x:c r="M116" s="8" t="str">
        <x:v>Substantive</x:v>
      </x:c>
    </x:row>
    <x:row r="117" ht="73.5" customHeight="1">
      <x:c r="A117" s="27" t="str">
        <x:v>F2-15</x:v>
      </x:c>
      <x:c r="B117" s="28" t="str">
        <x:v>female</x:v>
      </x:c>
      <x:c r="C117" s="27" t="str">
        <x:v>Third-party recognition versus sanction of the participant's organization</x:v>
      </x:c>
      <x:c r="D117" s="27" t="str">
        <x:v>Not applicable</x:v>
      </x:c>
      <x:c r="E117" s="29" t="n">
        <x:v>0</x:v>
      </x:c>
      <x:c r="F117" s="27" t="str">
        <x:v>I have always been an organized person, especially when it comes to work
I have to be organised in order to be effective and efficient
this is a skill that has helped me to succeed</x:v>
      </x:c>
      <x:c r="G117" s="27" t="str">
        <x:v>The interview describes the participant's organization, practices, standards, or self-assessment without any mention of another person or institution reacting to it, evaluating it, commenting on it, or imposing consequences, so no third-party reaction can be observed. Do not infer absence of recognition or sanction from silence.</x:v>
      </x:c>
      <x:c r="H117" s="31" t="n">
        <x:v>82</x:v>
      </x:c>
      <x:c r="I117" s="31" t="n">
        <x:v>332</x:v>
      </x:c>
      <x:c r="J117" s="32" t="str">
        <x:v>114</x:v>
      </x:c>
      <x:c r="K117" s="27" t="str">
        <x:v>Training</x:v>
      </x:c>
      <x:c r="L117" s="27" t="str">
        <x:v>Exact quotation; saved under the selected category.</x:v>
      </x:c>
      <x:c r="M117" s="27" t="str">
        <x:v>Not applicable</x:v>
      </x:c>
    </x:row>
    <x:row r="118" ht="87.75" customHeight="1">
      <x:c r="A118" s="8" t="str">
        <x:v>F2-15</x:v>
      </x:c>
      <x:c r="B118" s="33" t="str">
        <x:v>female</x:v>
      </x:c>
      <x:c r="C118" s="8" t="str">
        <x:v>Third-party recognition versus sanction of the participant's organization</x:v>
      </x:c>
      <x:c r="D118" s="8" t="str">
        <x:v>Uncertain</x:v>
      </x:c>
      <x:c r="E118" s="34" t="n">
        <x:v>0</x:v>
      </x:c>
      <x:c r="F118" s="8" t="str">
        <x:v>I get very upset if my daughter borrows something</x:v>
      </x:c>
      <x:c r="G118" s="8" t="str">
        <x:v>The interview mentions other people or evaluations in a way that could reflect a third-party reaction to the participant's organization but is too brief or ambiguous to classify. Examples: a vague statement about workplace impact that could be either self-assessment (e.g., 'this affects my work') or others' imposed consequences; a mention of feedback that could be anticipated rather than actually received; or mixed reports of both praise and criticism that cannot be resolved.</x:v>
      </x:c>
      <x:c r="H118" s="22" t="n">
        <x:v>1</x:v>
      </x:c>
      <x:c r="I118" s="22" t="n">
        <x:v>10</x:v>
      </x:c>
      <x:c r="J118" s="35" t="str">
        <x:v>670</x:v>
      </x:c>
      <x:c r="K118" s="8" t="str">
        <x:v>Training</x:v>
      </x:c>
      <x:c r="L118" s="8" t="str">
        <x:v>Exact quotation; saved under the selected category.</x:v>
      </x:c>
      <x:c r="M118" s="8" t="str">
        <x:v>Uncertain</x:v>
      </x:c>
    </x:row>
    <x:row r="119" ht="58.5" customHeight="1">
      <x:c r="A119" s="27" t="str">
        <x:v>F2-15</x:v>
      </x:c>
      <x:c r="B119" s="28" t="str">
        <x:v>female</x:v>
      </x:c>
      <x:c r="C119" s="27" t="str">
        <x:v>Third-party recognition versus sanction of the participant's organization</x:v>
      </x:c>
      <x:c r="D119" s="27" t="str">
        <x:v>[Invalid response: zero fallback]</x:v>
      </x:c>
      <x:c r="E119" s="29" t="n">
        <x:v>0</x:v>
      </x:c>
      <x:c r="F119" s="27" t="str"/>
      <x:c r="G119" s="27" t="str">
        <x:v>The completed rating failed validation or did not match a valid response category. The saved pipeline assigned a flagged zero. This is a processing fallback, not a generated category.</x:v>
      </x:c>
      <x:c r="H119" s="31" t="n">
        <x:v>0</x:v>
      </x:c>
      <x:c r="I119" s="31" t="n">
        <x:v>1</x:v>
      </x:c>
      <x:c r="J119" s="32" t="str"/>
      <x:c r="K119" s="27" t="str"/>
      <x:c r="L119" s="27" t="str">
        <x:v>No category quotation is assigned to invalid responses.</x:v>
      </x:c>
      <x:c r="M119" s="27" t="str">
        <x:v>Invalid fallback</x:v>
      </x:c>
    </x:row>
    <x:row r="120" ht="73.5" customHeight="1">
      <x:c r="A120" s="36" t="str">
        <x:v>M2-03</x:v>
      </x:c>
      <x:c r="B120" s="37" t="str">
        <x:v>male</x:v>
      </x:c>
      <x:c r="C120" s="36" t="str">
        <x:v>Confidence and external validation in self-described organization</x:v>
      </x:c>
      <x:c r="D120" s="36" t="str">
        <x:v>Hedged or self-critical self-description</x:v>
      </x:c>
      <x:c r="E120" s="38" t="n">
        <x:v>-2</x:v>
      </x:c>
      <x:c r="F120" s="36" t="str">
        <x:v>I navigate a somewhat disorganized yet structured approach
my desk seems cluttered i know where everything is
I Thirive in this controlled chaos</x:v>
      </x:c>
      <x:c r="G120" s="36" t="str">
        <x:v>Participant qualifies, hedges, or openly criticizes their own organization, admitting gaps between standards and behavior. Examples: 'I don't feel that I'm organized... perhaps my mind is'; 'somewhat disorganized yet structured'; 'I don't always live up to these standards'; 'fairly organized, but last year I got sloppy'; describing thriving in 'controlled chaos' that others would see as messy.</x:v>
      </x:c>
      <x:c r="H120" s="39" t="n">
        <x:v>23</x:v>
      </x:c>
      <x:c r="I120" s="39" t="n">
        <x:v>125</x:v>
      </x:c>
      <x:c r="J120" s="40" t="str">
        <x:v>244</x:v>
      </x:c>
      <x:c r="K120" s="36" t="str">
        <x:v>Training</x:v>
      </x:c>
      <x:c r="L120" s="36" t="str">
        <x:v>Exact quotation; saved under the selected category.</x:v>
      </x:c>
      <x:c r="M120" s="36" t="str">
        <x:v>Substantive</x:v>
      </x:c>
    </x:row>
    <x:row r="121" ht="73.5" customHeight="1">
      <x:c r="A121" s="8" t="str">
        <x:v>M2-03</x:v>
      </x:c>
      <x:c r="B121" s="33" t="str">
        <x:v>male</x:v>
      </x:c>
      <x:c r="C121" s="8" t="str">
        <x:v>Confidence and external validation in self-described organization</x:v>
      </x:c>
      <x:c r="D121" s="8" t="str">
        <x:v>Neutral description without external reference</x:v>
      </x:c>
      <x:c r="E121" s="34" t="n">
        <x:v>-1</x:v>
      </x:c>
      <x:c r="F121" s="8" t="str">
        <x:v>My organization habit begin from my wardrobe
I organize my project by the time they start
i plan my day on written schedule</x:v>
      </x:c>
      <x:c r="G121" s="8" t="str">
        <x:v>Participant describes their organizational habits in matter-of-fact terms without strong confidence markers, self-criticism, or mention of how others perceive them. Examples: describing keeping a tidy desk and its practical effects; explaining that organization 'comes with' spontaneous inspiration; general statements about what organized people do.</x:v>
      </x:c>
      <x:c r="H121" s="22" t="n">
        <x:v>15</x:v>
      </x:c>
      <x:c r="I121" s="22" t="n">
        <x:v>50</x:v>
      </x:c>
      <x:c r="J121" s="35" t="str">
        <x:v>487</x:v>
      </x:c>
      <x:c r="K121" s="8" t="str">
        <x:v>Training</x:v>
      </x:c>
      <x:c r="L121" s="8" t="str">
        <x:v>Exact quotation; saved under the selected category.</x:v>
      </x:c>
      <x:c r="M121" s="8" t="str">
        <x:v>Substantive</x:v>
      </x:c>
    </x:row>
    <x:row r="122" ht="59.25" customHeight="1">
      <x:c r="A122" s="27" t="str">
        <x:v>M2-03</x:v>
      </x:c>
      <x:c r="B122" s="28" t="str">
        <x:v>male</x:v>
      </x:c>
      <x:c r="C122" s="27" t="str">
        <x:v>Confidence and external validation in self-described organization</x:v>
      </x:c>
      <x:c r="D122" s="27" t="str">
        <x:v>Uncertain</x:v>
      </x:c>
      <x:c r="E122" s="29" t="n">
        <x:v>0</x:v>
      </x:c>
      <x:c r="F122" s="27" t="str">
        <x:v>I believe I am actually moderately organized
since all my classes are online it is a little different</x:v>
      </x:c>
      <x:c r="G122" s="27" t="str">
        <x:v>The interview gives mixed or ambiguous evidence about the participant's confidence or external validation, such as contradicting self-descriptions, or too little detail about how they or others view their organization to judge.</x:v>
      </x:c>
      <x:c r="H122" s="31" t="n">
        <x:v>0</x:v>
      </x:c>
      <x:c r="I122" s="31" t="n">
        <x:v>5</x:v>
      </x:c>
      <x:c r="J122" s="32" t="str">
        <x:v>80</x:v>
      </x:c>
      <x:c r="K122" s="27" t="str">
        <x:v>Holdout</x:v>
      </x:c>
      <x:c r="L122" s="27" t="str">
        <x:v>Exact quotation from this rating; saved under another category. Context for an uncertain/not-applicable rating, not evidence of absence.</x:v>
      </x:c>
      <x:c r="M122" s="27" t="str">
        <x:v>Uncertain</x:v>
      </x:c>
    </x:row>
    <x:row r="123" ht="59.25" customHeight="1">
      <x:c r="A123" s="8" t="str">
        <x:v>M2-03</x:v>
      </x:c>
      <x:c r="B123" s="33" t="str">
        <x:v>male</x:v>
      </x:c>
      <x:c r="C123" s="8" t="str">
        <x:v>Confidence and external validation in self-described organization</x:v>
      </x:c>
      <x:c r="D123" s="8" t="str">
        <x:v>Not applicable</x:v>
      </x:c>
      <x:c r="E123" s="34" t="n">
        <x:v>0</x:v>
      </x:c>
      <x:c r="F123" s="8" t="str">
        <x:v>i always comport my self when ever am in class or work
the respect that i deserve i will get
everywhere you go you must comport your self</x:v>
      </x:c>
      <x:c r="G123" s="8" t="str">
        <x:v>The interview does not include any self-assessment of the participant's own organization or how others respond to it, so there is no relevant evidence to judge.</x:v>
      </x:c>
      <x:c r="H123" s="22" t="n">
        <x:v>1</x:v>
      </x:c>
      <x:c r="I123" s="22" t="n">
        <x:v>3</x:v>
      </x:c>
      <x:c r="J123" s="35" t="str">
        <x:v>145</x:v>
      </x:c>
      <x:c r="K123" s="8" t="str">
        <x:v>Training</x:v>
      </x:c>
      <x:c r="L123" s="8" t="str">
        <x:v>Exact quotation; saved under the selected category.</x:v>
      </x:c>
      <x:c r="M123" s="8" t="str">
        <x:v>Not applicable</x:v>
      </x:c>
    </x:row>
    <x:row r="124" ht="87.75" customHeight="1">
      <x:c r="A124" s="27" t="str">
        <x:v>M2-03</x:v>
      </x:c>
      <x:c r="B124" s="28" t="str">
        <x:v>male</x:v>
      </x:c>
      <x:c r="C124" s="27" t="str">
        <x:v>Confidence and external validation in self-described organization</x:v>
      </x:c>
      <x:c r="D124" s="27" t="str">
        <x:v>Unqualified confident self-assessment</x:v>
      </x:c>
      <x:c r="E124" s="29" t="n">
        <x:v>1</x:v>
      </x:c>
      <x:c r="F124" s="27" t="str">
        <x:v>I always know where I have my things
Being very organized is very important to me
leading me to being more confident and having less stress</x:v>
      </x:c>
      <x:c r="G124" s="27" t="str">
        <x:v>Participant asserts they are very or highly organized without hedging, framing it as a stable strength that drives their success, efficiency, or confidence, but without citing recognition from other people or imposing standards on others. Examples: 'I'm a very well organized individual'; 'I always know where I have my things'; 'being organized is how one achieves success'; crediting organization for finishing work sooner or having less stress.</x:v>
      </x:c>
      <x:c r="H124" s="31" t="n">
        <x:v>27</x:v>
      </x:c>
      <x:c r="I124" s="31" t="n">
        <x:v>109</x:v>
      </x:c>
      <x:c r="J124" s="32" t="str">
        <x:v>118</x:v>
      </x:c>
      <x:c r="K124" s="27" t="str">
        <x:v>Training</x:v>
      </x:c>
      <x:c r="L124" s="27" t="str">
        <x:v>Exact quotation; saved under the selected category.</x:v>
      </x:c>
      <x:c r="M124" s="27" t="str">
        <x:v>Substantive</x:v>
      </x:c>
    </x:row>
    <x:row r="125" ht="87.75" customHeight="1">
      <x:c r="A125" s="8" t="str">
        <x:v>M2-03</x:v>
      </x:c>
      <x:c r="B125" s="33" t="str">
        <x:v>male</x:v>
      </x:c>
      <x:c r="C125" s="8" t="str">
        <x:v>Confidence and external validation in self-described organization</x:v>
      </x:c>
      <x:c r="D125" s="8" t="str">
        <x:v>Confident self-assessment with external recognition or enforcement on others</x:v>
      </x:c>
      <x:c r="E125" s="34" t="n">
        <x:v>2</x:v>
      </x:c>
      <x:c r="F125" s="8" t="str">
        <x:v>I am a very organized person with the proven characteristics
it has shown significant impact in my work place
I have led teams of co workers to achieve tasks
I make sure to supervise the job of other team members
ensure compliance to standard performance</x:v>
      </x:c>
      <x:c r="G125" s="8" t="str">
        <x:v>Participant both asserts strong organization and describes others recognizing, praising, relying on, or being affected by it. Examples: community members teasing them for being meticulous; being 'known to be the best worker'; team members happy with their project delivery; making sure subordinates are well organized; supervising others to ensure compliance; demanding respect through composure; frustration directed at others' untidiness or failure to follow plans.</x:v>
      </x:c>
      <x:c r="H125" s="22" t="n">
        <x:v>20</x:v>
      </x:c>
      <x:c r="I125" s="22" t="n">
        <x:v>51</x:v>
      </x:c>
      <x:c r="J125" s="35" t="str">
        <x:v>811</x:v>
      </x:c>
      <x:c r="K125" s="8" t="str">
        <x:v>Training</x:v>
      </x:c>
      <x:c r="L125" s="8" t="str">
        <x:v>Exact quotation; saved under the selected category.</x:v>
      </x:c>
      <x:c r="M125" s="8" t="str">
        <x:v>Substantive</x:v>
      </x:c>
    </x:row>
    <x:row r="126" ht="58.5" customHeight="1">
      <x:c r="A126" s="27" t="str">
        <x:v>M2-03</x:v>
      </x:c>
      <x:c r="B126" s="28" t="str">
        <x:v>male</x:v>
      </x:c>
      <x:c r="C126" s="27" t="str">
        <x:v>Confidence and external validation in self-described organization</x:v>
      </x:c>
      <x:c r="D126" s="27" t="str">
        <x:v>[Invalid response: zero fallback]</x:v>
      </x:c>
      <x:c r="E126" s="29" t="n">
        <x:v>0</x:v>
      </x:c>
      <x:c r="F126" s="27" t="str"/>
      <x:c r="G126" s="27" t="str">
        <x:v>The completed rating failed validation or did not match a valid response category. The saved pipeline assigned a flagged zero. This is a processing fallback, not a generated category.</x:v>
      </x:c>
      <x:c r="H126" s="31" t="n">
        <x:v>0</x:v>
      </x:c>
      <x:c r="I126" s="31" t="n">
        <x:v>2</x:v>
      </x:c>
      <x:c r="J126" s="32" t="str"/>
      <x:c r="K126" s="27" t="str"/>
      <x:c r="L126" s="27" t="str">
        <x:v>No category quotation is assigned to invalid responses.</x:v>
      </x:c>
      <x:c r="M126" s="27" t="str">
        <x:v>Invalid fallback</x:v>
      </x:c>
    </x:row>
    <x:row r="127" ht="30" customHeight="1">
      <x:c r="A127" s="26" t="str">
        <x:v>10. Preparing ahead versus reactive organization. F2-16 and M2-02. Close match with different scope.</x:v>
      </x:c>
      <x:c r="B127" s="26"/>
      <x:c r="C127" s="26"/>
      <x:c r="D127" s="26"/>
      <x:c r="E127" s="26"/>
      <x:c r="F127" s="26"/>
      <x:c r="G127" s="26"/>
      <x:c r="H127" s="26"/>
      <x:c r="I127" s="26"/>
      <x:c r="J127" s="26"/>
      <x:c r="K127" s="26"/>
      <x:c r="L127" s="26"/>
      <x:c r="M127" s="26"/>
    </x:row>
    <x:row r="128" ht="102" customHeight="1">
      <x:c r="A128" s="36" t="str">
        <x:v>F2-16</x:v>
      </x:c>
      <x:c r="B128" s="37" t="str">
        <x:v>female</x:v>
      </x:c>
      <x:c r="C128" s="36" t="str">
        <x:v>Temporal orientation of organization (anticipatory vs. present-moment vs. reactive)</x:v>
      </x:c>
      <x:c r="D128" s="36" t="str">
        <x:v>Advance preparation or readiness for upcoming demands described</x:v>
      </x:c>
      <x:c r="E128" s="38" t="n">
        <x:v>2</x:v>
      </x:c>
      <x:c r="F128" s="36" t="str">
        <x:v>tidy up my desk after my shift
organized and ready for the next day</x:v>
      </x:c>
      <x:c r="G128" s="36" t="str">
        <x:v>The participant describes concrete forward-looking setup: preparing tools or materials before starting work ('I always have the tools prepared', 'prepare to succeed or prepare to fail'), making plans or lists in advance for the next day or next shift ('I create lists at night for the next day', 'I tidy up my desk after my shift so that way it is organized and ready for the next day'), tracking upcoming deadlines and future goals, setting up a system so that future work goes more smoothly, or otherwise readying themselves or their environment before the demand arrives.</x:v>
      </x:c>
      <x:c r="H128" s="39" t="n">
        <x:v>26</x:v>
      </x:c>
      <x:c r="I128" s="39" t="n">
        <x:v>118</x:v>
      </x:c>
      <x:c r="J128" s="40" t="str">
        <x:v>357</x:v>
      </x:c>
      <x:c r="K128" s="36" t="str">
        <x:v>Training</x:v>
      </x:c>
      <x:c r="L128" s="36" t="str">
        <x:v>Exact quotation; saved under the selected category.</x:v>
      </x:c>
      <x:c r="M128" s="36" t="str">
        <x:v>Substantive</x:v>
      </x:c>
    </x:row>
    <x:row r="129" ht="73.5" customHeight="1">
      <x:c r="A129" s="8" t="str">
        <x:v>F2-16</x:v>
      </x:c>
      <x:c r="B129" s="33" t="str">
        <x:v>female</x:v>
      </x:c>
      <x:c r="C129" s="8" t="str">
        <x:v>Temporal orientation of organization (anticipatory vs. present-moment vs. reactive)</x:v>
      </x:c>
      <x:c r="D129" s="8" t="str">
        <x:v>Present-moment organization only</x:v>
      </x:c>
      <x:c r="E129" s="34" t="n">
        <x:v>1</x:v>
      </x:c>
      <x:c r="F129" s="8" t="str">
        <x:v>I value structure and routine
take on tasks in a calculated way
organizing my to do lists
focusing more on the plan than the actual work</x:v>
      </x:c>
      <x:c r="G129" s="8" t="str">
        <x:v>The participant describes organizing or managing the task currently at hand or the current state of their space (breaking down a current project step by step, prioritizing today's task list, structuring the current day, keeping the desk clear for present work, working through today's pile as the day goes) without describing any preparation, setup, or tracking aimed at what comes next.</x:v>
      </x:c>
      <x:c r="H129" s="22" t="n">
        <x:v>35</x:v>
      </x:c>
      <x:c r="I129" s="22" t="n">
        <x:v>123</x:v>
      </x:c>
      <x:c r="J129" s="35" t="str">
        <x:v>892</x:v>
      </x:c>
      <x:c r="K129" s="8" t="str">
        <x:v>Training</x:v>
      </x:c>
      <x:c r="L129" s="8" t="str">
        <x:v>Exact quotation; saved under the selected category.</x:v>
      </x:c>
      <x:c r="M129" s="8" t="str">
        <x:v>Substantive</x:v>
      </x:c>
    </x:row>
    <x:row r="130" ht="73.5" customHeight="1">
      <x:c r="A130" s="27" t="str">
        <x:v>F2-16</x:v>
      </x:c>
      <x:c r="B130" s="28" t="str">
        <x:v>female</x:v>
      </x:c>
      <x:c r="C130" s="27" t="str">
        <x:v>Temporal orientation of organization (anticipatory vs. present-moment vs. reactive)</x:v>
      </x:c>
      <x:c r="D130" s="27" t="str">
        <x:v>Initial organization that lapses into deadline-driven work</x:v>
      </x:c>
      <x:c r="E130" s="29" t="n">
        <x:v>-1</x:v>
      </x:c>
      <x:c r="F130" s="27" t="str">
        <x:v>I always start out very organised
on longer or less interesting tasks this can slip
favouring to do parts later on
rushing nearer the deadline</x:v>
      </x:c>
      <x:c r="G130" s="27" t="str">
        <x:v>The participant describes starting tasks or periods organized but being unable to sustain it: organization that 'can slip over time' on longer or less interesting tasks, favoring doing parts later and 'rushing nearer the deadline', or buying a planner with full intention to use it consistently while it ends up unused, such that work gets done under deadline pressure rather than through sustained forward management.</x:v>
      </x:c>
      <x:c r="H130" s="31" t="n">
        <x:v>2</x:v>
      </x:c>
      <x:c r="I130" s="31" t="n">
        <x:v>16</x:v>
      </x:c>
      <x:c r="J130" s="32" t="str">
        <x:v>184</x:v>
      </x:c>
      <x:c r="K130" s="27" t="str">
        <x:v>Training</x:v>
      </x:c>
      <x:c r="L130" s="27" t="str">
        <x:v>Exact quotation; saved under the selected category.</x:v>
      </x:c>
      <x:c r="M130" s="27" t="str">
        <x:v>Substantive</x:v>
      </x:c>
    </x:row>
    <x:row r="131" ht="59.25" customHeight="1">
      <x:c r="A131" s="8" t="str">
        <x:v>F2-16</x:v>
      </x:c>
      <x:c r="B131" s="33" t="str">
        <x:v>female</x:v>
      </x:c>
      <x:c r="C131" s="8" t="str">
        <x:v>Temporal orientation of organization (anticipatory vs. present-moment vs. reactive)</x:v>
      </x:c>
      <x:c r="D131" s="8" t="str">
        <x:v>Organization only in reaction to immediate triggers</x:v>
      </x:c>
      <x:c r="E131" s="34" t="n">
        <x:v>-2</x:v>
      </x:c>
      <x:c r="F131" s="8" t="str">
        <x:v>If I know I have people coming over I will clean up
it is embarrassing otherwise
hard time being proactive with cleaning and organizing</x:v>
      </x:c>
      <x:c r="G131" s="8" t="str">
        <x:v>The participant describes organizing or cleaning only when an external occasion forces it: tidying up only when guests are coming, addressing mess or tasks only once they become urgent or embarrassing, or otherwise organizing in response to triggers rather than in anticipation of demands.</x:v>
      </x:c>
      <x:c r="H131" s="22" t="n">
        <x:v>4</x:v>
      </x:c>
      <x:c r="I131" s="22" t="n">
        <x:v>3</x:v>
      </x:c>
      <x:c r="J131" s="35" t="str">
        <x:v>432</x:v>
      </x:c>
      <x:c r="K131" s="8" t="str">
        <x:v>Training</x:v>
      </x:c>
      <x:c r="L131" s="8" t="str">
        <x:v>Exact quotation; saved under the selected category.</x:v>
      </x:c>
      <x:c r="M131" s="8" t="str">
        <x:v>Substantive</x:v>
      </x:c>
    </x:row>
    <x:row r="132" ht="73.5" customHeight="1">
      <x:c r="A132" s="27" t="str">
        <x:v>F2-16</x:v>
      </x:c>
      <x:c r="B132" s="28" t="str">
        <x:v>female</x:v>
      </x:c>
      <x:c r="C132" s="27" t="str">
        <x:v>Temporal orientation of organization (anticipatory vs. present-moment vs. reactive)</x:v>
      </x:c>
      <x:c r="D132" s="27" t="str">
        <x:v>Not applicable</x:v>
      </x:c>
      <x:c r="E132" s="29" t="n">
        <x:v>0</x:v>
      </x:c>
      <x:c r="F132" s="27" t="str">
        <x:v>I am very organized and I do not get bored
organizational skills have helped me successfully work remotely
keep my life in order
organization has also spilled into the lives of those around me</x:v>
      </x:c>
      <x:c r="G132" s="27" t="str">
        <x:v>The interview describes only the participant's standards, self-assessment, preferences, or the value of organization, with no described organizational behavior directed at tasks, time, or the workspace, so no temporal orientation of organization can be observed. Do not infer present-moment or reactive organization from silence.</x:v>
      </x:c>
      <x:c r="H132" s="31" t="n">
        <x:v>12</x:v>
      </x:c>
      <x:c r="I132" s="31" t="n">
        <x:v>82</x:v>
      </x:c>
      <x:c r="J132" s="32" t="str">
        <x:v>664</x:v>
      </x:c>
      <x:c r="K132" s="27" t="str">
        <x:v>Training</x:v>
      </x:c>
      <x:c r="L132" s="27" t="str">
        <x:v>Exact quotation; saved under the selected category.</x:v>
      </x:c>
      <x:c r="M132" s="27" t="str">
        <x:v>Not applicable</x:v>
      </x:c>
    </x:row>
    <x:row r="133" ht="73.5" customHeight="1">
      <x:c r="A133" s="8" t="str">
        <x:v>F2-16</x:v>
      </x:c>
      <x:c r="B133" s="33" t="str">
        <x:v>female</x:v>
      </x:c>
      <x:c r="C133" s="8" t="str">
        <x:v>Temporal orientation of organization (anticipatory vs. present-moment vs. reactive)</x:v>
      </x:c>
      <x:c r="D133" s="8" t="str">
        <x:v>Uncertain</x:v>
      </x:c>
      <x:c r="E133" s="34" t="n">
        <x:v>0</x:v>
      </x:c>
      <x:c r="F133" s="8" t="str">
        <x:v>I may take a long route to do something
I will always make sure it gets finished</x:v>
      </x:c>
      <x:c r="G133" s="8" t="str">
        <x:v>The interview gives mixed or too-brief evidence about the temporal direction of the participant's organization, such as mentioning both advance preparation and deadline-driven rushing in a way that cannot be resolved, or describing practices without enough context to tell whether they look ahead to upcoming demands, handle only the present, or respond to triggers.</x:v>
      </x:c>
      <x:c r="H133" s="22" t="n">
        <x:v>10</x:v>
      </x:c>
      <x:c r="I133" s="22" t="n">
        <x:v>28</x:v>
      </x:c>
      <x:c r="J133" s="35" t="str">
        <x:v>22</x:v>
      </x:c>
      <x:c r="K133" s="8" t="str">
        <x:v>Training</x:v>
      </x:c>
      <x:c r="L133" s="8" t="str">
        <x:v>Exact quotation; saved under the selected category.</x:v>
      </x:c>
      <x:c r="M133" s="8" t="str">
        <x:v>Uncertain</x:v>
      </x:c>
    </x:row>
    <x:row r="134" ht="58.5" customHeight="1">
      <x:c r="A134" s="27" t="str">
        <x:v>F2-16</x:v>
      </x:c>
      <x:c r="B134" s="28" t="str">
        <x:v>female</x:v>
      </x:c>
      <x:c r="C134" s="27" t="str">
        <x:v>Temporal orientation of organization (anticipatory vs. present-moment vs. reactive)</x:v>
      </x:c>
      <x:c r="D134" s="27" t="str">
        <x:v>[Invalid response: zero fallback]</x:v>
      </x:c>
      <x:c r="E134" s="29" t="n">
        <x:v>0</x:v>
      </x:c>
      <x:c r="F134" s="27" t="str"/>
      <x:c r="G134" s="27" t="str">
        <x:v>The completed rating failed validation or did not match a valid response category. The saved pipeline assigned a flagged zero. This is a processing fallback, not a generated category.</x:v>
      </x:c>
      <x:c r="H134" s="31" t="n">
        <x:v>3</x:v>
      </x:c>
      <x:c r="I134" s="31" t="n">
        <x:v>0</x:v>
      </x:c>
      <x:c r="J134" s="32" t="str"/>
      <x:c r="K134" s="27" t="str"/>
      <x:c r="L134" s="27" t="str">
        <x:v>No category quotation is assigned to invalid responses.</x:v>
      </x:c>
      <x:c r="M134" s="27" t="str">
        <x:v>Invalid fallback</x:v>
      </x:c>
    </x:row>
    <x:row r="135" ht="59.25" customHeight="1">
      <x:c r="A135" s="36" t="str">
        <x:v>M2-02</x:v>
      </x:c>
      <x:c r="B135" s="37" t="str">
        <x:v>male</x:v>
      </x:c>
      <x:c r="C135" s="36" t="str">
        <x:v>Proactive task preparation and deadline lead-time</x:v>
      </x:c>
      <x:c r="D135" s="36" t="str">
        <x:v>Habitual last-minute completion</x:v>
      </x:c>
      <x:c r="E135" s="38" t="n">
        <x:v>-2</x:v>
      </x:c>
      <x:c r="F135" s="36" t="str">
        <x:v>I am usually last minute with everything
I am always rushing to get my work done
I got it in at 5:50 when the assignment was due at 6</x:v>
      </x:c>
      <x:c r="G135" s="36" t="str">
        <x:v>Participant describes a recurring pattern of doing work at the last minute, rushing to finish, or being chronically behind schedule. Examples: 'I'm usually last minute with everything'; submitting an assignment minutes before the deadline; always rushing to get work done.</x:v>
      </x:c>
      <x:c r="H135" s="39" t="n">
        <x:v>1</x:v>
      </x:c>
      <x:c r="I135" s="39" t="n">
        <x:v>4</x:v>
      </x:c>
      <x:c r="J135" s="40" t="str">
        <x:v>708</x:v>
      </x:c>
      <x:c r="K135" s="36" t="str">
        <x:v>Training</x:v>
      </x:c>
      <x:c r="L135" s="36" t="str">
        <x:v>Exact quotation; saved under the selected category.</x:v>
      </x:c>
      <x:c r="M135" s="36" t="str">
        <x:v>Substantive</x:v>
      </x:c>
    </x:row>
    <x:row r="136" ht="73.5" customHeight="1">
      <x:c r="A136" s="8" t="str">
        <x:v>M2-02</x:v>
      </x:c>
      <x:c r="B136" s="33" t="str">
        <x:v>male</x:v>
      </x:c>
      <x:c r="C136" s="8" t="str">
        <x:v>Proactive task preparation and deadline lead-time</x:v>
      </x:c>
      <x:c r="D136" s="8" t="str">
        <x:v>Occasional rushed or delayed work</x:v>
      </x:c>
      <x:c r="E136" s="34" t="n">
        <x:v>-1</x:v>
      </x:c>
      <x:c r="F136" s="8" t="str">
        <x:v>last year I got sloppy with how I kept things
it took me many hours of wasted time trying to find it</x:v>
      </x:c>
      <x:c r="G136" s="8" t="str">
        <x:v>Participant is generally able to meet obligations but describes specific incidents where lack of preparation caused wasted time, delays, or a frantic scramble to complete something. Examples: losing hours searching for a misplaced material needed to fulfill an order; a one-time lapse in keeping things on track that forced rushed recovery.</x:v>
      </x:c>
      <x:c r="H136" s="22" t="n">
        <x:v>3</x:v>
      </x:c>
      <x:c r="I136" s="22" t="n">
        <x:v>10</x:v>
      </x:c>
      <x:c r="J136" s="35" t="str">
        <x:v>840</x:v>
      </x:c>
      <x:c r="K136" s="8" t="str">
        <x:v>Training</x:v>
      </x:c>
      <x:c r="L136" s="8" t="str">
        <x:v>Exact quotation; saved under the selected category.</x:v>
      </x:c>
      <x:c r="M136" s="8" t="str">
        <x:v>Substantive</x:v>
      </x:c>
    </x:row>
    <x:row r="137" ht="73.5" customHeight="1">
      <x:c r="A137" s="27" t="str">
        <x:v>M2-02</x:v>
      </x:c>
      <x:c r="B137" s="28" t="str">
        <x:v>male</x:v>
      </x:c>
      <x:c r="C137" s="27" t="str">
        <x:v>Proactive task preparation and deadline lead-time</x:v>
      </x:c>
      <x:c r="D137" s="27" t="str">
        <x:v>Situational advance planning</x:v>
      </x:c>
      <x:c r="E137" s="29" t="n">
        <x:v>1</x:v>
      </x:c>
      <x:c r="F137" s="27" t="str">
        <x:v>I am organized in terms of meeting deadlines
leave enough time to locate things
complete school assignments at least a day in advance</x:v>
      </x:c>
      <x:c r="G137" s="27" t="str">
        <x:v>Participant describes building in buffer time or planning ahead in some contexts but not others, or doing so inconsistently. Examples: aiming to complete school assignments at least a day in advance as a coping strategy for other disorganization; planning ahead only for high-stakes tasks while handling routine work as it comes.</x:v>
      </x:c>
      <x:c r="H137" s="31" t="n">
        <x:v>4</x:v>
      </x:c>
      <x:c r="I137" s="31" t="n">
        <x:v>12</x:v>
      </x:c>
      <x:c r="J137" s="32" t="str">
        <x:v>858</x:v>
      </x:c>
      <x:c r="K137" s="27" t="str">
        <x:v>Training</x:v>
      </x:c>
      <x:c r="L137" s="27" t="str">
        <x:v>Exact quotation; saved under the selected category.</x:v>
      </x:c>
      <x:c r="M137" s="27" t="str">
        <x:v>Substantive</x:v>
      </x:c>
    </x:row>
    <x:row r="138" ht="73.5" customHeight="1">
      <x:c r="A138" s="8" t="str">
        <x:v>M2-02</x:v>
      </x:c>
      <x:c r="B138" s="33" t="str">
        <x:v>male</x:v>
      </x:c>
      <x:c r="C138" s="8" t="str">
        <x:v>Proactive task preparation and deadline lead-time</x:v>
      </x:c>
      <x:c r="D138" s="8" t="str">
        <x:v>Routinely plans ahead and finishes early</x:v>
      </x:c>
      <x:c r="E138" s="34" t="n">
        <x:v>2</x:v>
      </x:c>
      <x:c r="F138" s="8" t="str">
        <x:v>I have a game plan as to how I will complete a task
organized with materials and any knowledge I require before I begin</x:v>
      </x:c>
      <x:c r="G138" s="8" t="str">
        <x:v>Participant describes a consistent habit of preparing before starting tasks and completing work ahead of deadlines. Examples: having a 'game plan' for how to complete a task and gathering all materials and knowledge before beginning; planning ahead at work so jobs are easier and faster; routinely finishing tasks with time to spare.</x:v>
      </x:c>
      <x:c r="H138" s="22" t="n">
        <x:v>14</x:v>
      </x:c>
      <x:c r="I138" s="22" t="n">
        <x:v>41</x:v>
      </x:c>
      <x:c r="J138" s="35" t="str">
        <x:v>313</x:v>
      </x:c>
      <x:c r="K138" s="8" t="str">
        <x:v>Training</x:v>
      </x:c>
      <x:c r="L138" s="8" t="str">
        <x:v>Exact quotation; saved under the selected category.</x:v>
      </x:c>
      <x:c r="M138" s="8" t="str">
        <x:v>Substantive</x:v>
      </x:c>
    </x:row>
    <x:row r="139" ht="59.25" customHeight="1">
      <x:c r="A139" s="27" t="str">
        <x:v>M2-02</x:v>
      </x:c>
      <x:c r="B139" s="28" t="str">
        <x:v>male</x:v>
      </x:c>
      <x:c r="C139" s="27" t="str">
        <x:v>Proactive task preparation and deadline lead-time</x:v>
      </x:c>
      <x:c r="D139" s="27" t="str">
        <x:v>Uncertain</x:v>
      </x:c>
      <x:c r="E139" s="29" t="n">
        <x:v>0</x:v>
      </x:c>
      <x:c r="F139" s="27" t="str">
        <x:v>I'm able to meet deadline to keep track of projects
very rarely lose track of projects
organized helped me get ahead in life</x:v>
      </x:c>
      <x:c r="G139" s="27" t="str">
        <x:v>The interview gives mixed or ambiguous evidence about whether the participant plans ahead or works last-minute, such as claiming to plan ahead without describing any concrete instance, or giving contradictory statements about timing and preparation.</x:v>
      </x:c>
      <x:c r="H139" s="31" t="n">
        <x:v>11</x:v>
      </x:c>
      <x:c r="I139" s="31" t="n">
        <x:v>66</x:v>
      </x:c>
      <x:c r="J139" s="32" t="str">
        <x:v>171</x:v>
      </x:c>
      <x:c r="K139" s="27" t="str">
        <x:v>Training</x:v>
      </x:c>
      <x:c r="L139" s="27" t="str">
        <x:v>Exact quotation; saved under the selected category.</x:v>
      </x:c>
      <x:c r="M139" s="27" t="str">
        <x:v>Uncertain</x:v>
      </x:c>
    </x:row>
    <x:row r="140" ht="59.25" customHeight="1">
      <x:c r="A140" s="8" t="str">
        <x:v>M2-02</x:v>
      </x:c>
      <x:c r="B140" s="33" t="str">
        <x:v>male</x:v>
      </x:c>
      <x:c r="C140" s="8" t="str">
        <x:v>Proactive task preparation and deadline lead-time</x:v>
      </x:c>
      <x:c r="D140" s="8" t="str">
        <x:v>Not applicable</x:v>
      </x:c>
      <x:c r="E140" s="34" t="n">
        <x:v>0</x:v>
      </x:c>
      <x:c r="F140" s="8" t="str">
        <x:v>I am an organized person.
There is a place for everything and everything will be in it's place.
I am very much OCD about things not being where they are suppose to be.</x:v>
      </x:c>
      <x:c r="G140" s="8" t="str">
        <x:v>The interview does not mention anything about task timing, preparation, deadlines, or pacing, so there is no relevant evidence to judge this behavior.</x:v>
      </x:c>
      <x:c r="H140" s="22" t="n">
        <x:v>53</x:v>
      </x:c>
      <x:c r="I140" s="22" t="n">
        <x:v>212</x:v>
      </x:c>
      <x:c r="J140" s="35" t="str">
        <x:v>539</x:v>
      </x:c>
      <x:c r="K140" s="8" t="str">
        <x:v>Training</x:v>
      </x:c>
      <x:c r="L140" s="8" t="str">
        <x:v>Exact quotation; saved under the selected category.</x:v>
      </x:c>
      <x:c r="M140" s="8" t="str">
        <x:v>Not applicable</x:v>
      </x:c>
    </x:row>
    <x:row r="141" ht="58.5" customHeight="1">
      <x:c r="A141" s="27" t="str">
        <x:v>M2-02</x:v>
      </x:c>
      <x:c r="B141" s="28" t="str">
        <x:v>male</x:v>
      </x:c>
      <x:c r="C141" s="27" t="str">
        <x:v>Proactive task preparation and deadline lead-time</x:v>
      </x:c>
      <x:c r="D141" s="27" t="str">
        <x:v>[Invalid response: zero fallback]</x:v>
      </x:c>
      <x:c r="E141" s="29" t="n">
        <x:v>0</x:v>
      </x:c>
      <x:c r="F141" s="27" t="str"/>
      <x:c r="G141" s="27" t="str">
        <x:v>The completed rating failed validation or did not match a valid response category. The saved pipeline assigned a flagged zero. This is a processing fallback, not a generated category.</x:v>
      </x:c>
      <x:c r="H141" s="31" t="n">
        <x:v>0</x:v>
      </x:c>
      <x:c r="I141" s="31" t="n">
        <x:v>0</x:v>
      </x:c>
      <x:c r="J141" s="32" t="str"/>
      <x:c r="K141" s="27" t="str"/>
      <x:c r="L141" s="27" t="str">
        <x:v>No category quotation is assigned to invalid responses.</x:v>
      </x:c>
      <x:c r="M141" s="27" t="str">
        <x:v>Invalid fallback</x:v>
      </x:c>
    </x:row>
    <x:row r="142" ht="30" customHeight="1">
      <x:c r="A142" s="26" t="str">
        <x:v>11. Specificity of practices and outcomes. F2-04. No close counterpart in this alignment.</x:v>
      </x:c>
      <x:c r="B142" s="26"/>
      <x:c r="C142" s="26"/>
      <x:c r="D142" s="26"/>
      <x:c r="E142" s="26"/>
      <x:c r="F142" s="26"/>
      <x:c r="G142" s="26"/>
      <x:c r="H142" s="26"/>
      <x:c r="I142" s="26"/>
      <x:c r="J142" s="26"/>
      <x:c r="K142" s="26"/>
      <x:c r="L142" s="26"/>
      <x:c r="M142" s="26"/>
    </x:row>
    <x:row r="143" ht="102" customHeight="1">
      <x:c r="A143" s="36" t="str">
        <x:v>F2-04</x:v>
      </x:c>
      <x:c r="B143" s="37" t="str">
        <x:v>female</x:v>
      </x:c>
      <x:c r="C143" s="36" t="str">
        <x:v>Concreteness of described organizational practices and their outcomes</x:v>
      </x:c>
      <x:c r="D143" s="36" t="str">
        <x:v>Specific practices and concrete outcomes described</x:v>
      </x:c>
      <x:c r="E143" s="38" t="n">
        <x:v>3</x:v>
      </x:c>
      <x:c r="F143" s="36" t="str">
        <x:v>I have a cleaning schedule that I stick to
I clean certain parts of my home each day
my note-taking is meticulous
It helps keep me calm even on the busiest work shifts</x:v>
      </x:c>
      <x:c r="G143" s="36" t="str">
        <x:v>The participant describes particular organizational practices with enough detail that the behavior could be observed (e.g., a set cleaning schedule for specific areas, preparing materials the night before, emptying the dishwasher before cooking, checking and adjusting a calendar daily, keeping training materials in labeled folders) and/or points to a concrete, verifiable outcome or incident (successfully self-contracting a home build, completing college assignments on time, a highly rated cleaning business, meticulous notes used on busy shifts).</x:v>
      </x:c>
      <x:c r="H143" s="39" t="n">
        <x:v>20</x:v>
      </x:c>
      <x:c r="I143" s="39" t="n">
        <x:v>42</x:v>
      </x:c>
      <x:c r="J143" s="40" t="str">
        <x:v>729</x:v>
      </x:c>
      <x:c r="K143" s="36" t="str">
        <x:v>Training</x:v>
      </x:c>
      <x:c r="L143" s="36" t="str">
        <x:v>Exact quotation; saved under the selected category.</x:v>
      </x:c>
      <x:c r="M143" s="36" t="str">
        <x:v>Substantive</x:v>
      </x:c>
    </x:row>
    <x:row r="144" ht="59.25" customHeight="1">
      <x:c r="A144" s="8" t="str">
        <x:v>F2-04</x:v>
      </x:c>
      <x:c r="B144" s="33" t="str">
        <x:v>female</x:v>
      </x:c>
      <x:c r="C144" s="8" t="str">
        <x:v>Concreteness of described organizational practices and their outcomes</x:v>
      </x:c>
      <x:c r="D144" s="8" t="str">
        <x:v>Some concrete detail mixed with generic claims</x:v>
      </x:c>
      <x:c r="E144" s="34" t="n">
        <x:v>2</x:v>
      </x:c>
      <x:c r="F144" s="8" t="str">
        <x:v>I am very organised and like to work off todo lists
I do a weekly schedule of appointments and use diary reminders
reduce that down to daily and hourly tasks dependant on my workload</x:v>
      </x:c>
      <x:c r="G144" s="8" t="str">
        <x:v>The participant provides at least one specific practice or example, but much of the description remains at the level of general self-assessment or naming categories of tools/domains (e.g., mentions using weekly diary reminders reduced to daily tasks, but otherwise speaks in generalities about staying on top of workload).</x:v>
      </x:c>
      <x:c r="H144" s="22" t="n">
        <x:v>27</x:v>
      </x:c>
      <x:c r="I144" s="22" t="n">
        <x:v>134</x:v>
      </x:c>
      <x:c r="J144" s="35" t="str">
        <x:v>299</x:v>
      </x:c>
      <x:c r="K144" s="8" t="str">
        <x:v>Training</x:v>
      </x:c>
      <x:c r="L144" s="8" t="str">
        <x:v>Exact quotation; saved under the selected category.</x:v>
      </x:c>
      <x:c r="M144" s="8" t="str">
        <x:v>Substantive</x:v>
      </x:c>
    </x:row>
    <x:row r="145" ht="73.5" customHeight="1">
      <x:c r="A145" s="27" t="str">
        <x:v>F2-04</x:v>
      </x:c>
      <x:c r="B145" s="28" t="str">
        <x:v>female</x:v>
      </x:c>
      <x:c r="C145" s="27" t="str">
        <x:v>Concreteness of described organizational practices and their outcomes</x:v>
      </x:c>
      <x:c r="D145" s="27" t="str">
        <x:v>Generic or abstract claims with little concrete detail</x:v>
      </x:c>
      <x:c r="E145" s="29" t="n">
        <x:v>1</x:v>
      </x:c>
      <x:c r="F145" s="27" t="str">
        <x:v>I am very organised and that I have to be to make sure things get done
I may take a long route to do something but I know that it needs doing
I will always make sure it gets finished</x:v>
      </x:c>
      <x:c r="G145" s="27" t="str">
        <x:v>The participant asserts being organized and refers to tools, systems, or benefits only in general, abstract terms (e.g., 'I use calendars, checklists, and other tools to ensure tasks get done', 'everything has its place', 'I make sure things get finished', 'I may take a long route but it gets done') without describing any specific routine, incident, or tangible outcome that another person could observe or verify.</x:v>
      </x:c>
      <x:c r="H145" s="31" t="n">
        <x:v>45</x:v>
      </x:c>
      <x:c r="I145" s="31" t="n">
        <x:v>192</x:v>
      </x:c>
      <x:c r="J145" s="32" t="str">
        <x:v>22</x:v>
      </x:c>
      <x:c r="K145" s="27" t="str">
        <x:v>Training</x:v>
      </x:c>
      <x:c r="L145" s="27" t="str">
        <x:v>Exact quotation; saved under the selected category.</x:v>
      </x:c>
      <x:c r="M145" s="27" t="str">
        <x:v>Substantive</x:v>
      </x:c>
    </x:row>
    <x:row r="146" ht="58.5" customHeight="1">
      <x:c r="A146" s="8" t="str">
        <x:v>F2-04</x:v>
      </x:c>
      <x:c r="B146" s="33" t="str">
        <x:v>female</x:v>
      </x:c>
      <x:c r="C146" s="8" t="str">
        <x:v>Concreteness of described organizational practices and their outcomes</x:v>
      </x:c>
      <x:c r="D146" s="8" t="str">
        <x:v>Uncertain</x:v>
      </x:c>
      <x:c r="E146" s="34" t="n">
        <x:v>0</x:v>
      </x:c>
      <x:c r="F146" s="8" t="str">
        <x:v>I had a solo about forgetting something for school every day
I was like that in real life</x:v>
      </x:c>
      <x:c r="G146" s="8" t="str">
        <x:v>The interview gives unclear or mixed evidence about the concreteness of the participant's organizational practices, or is too brief to judge whether the described practices are specific or generic.</x:v>
      </x:c>
      <x:c r="H146" s="22" t="n">
        <x:v>0</x:v>
      </x:c>
      <x:c r="I146" s="22" t="n">
        <x:v>2</x:v>
      </x:c>
      <x:c r="J146" s="35" t="str">
        <x:v>806</x:v>
      </x:c>
      <x:c r="K146" s="8" t="str">
        <x:v>Holdout</x:v>
      </x:c>
      <x:c r="L146" s="8" t="str">
        <x:v>Exact quotation; saved under the selected category.</x:v>
      </x:c>
      <x:c r="M146" s="8" t="str">
        <x:v>Uncertain</x:v>
      </x:c>
    </x:row>
    <x:row r="147" ht="58.5" customHeight="1">
      <x:c r="A147" s="27" t="str">
        <x:v>F2-04</x:v>
      </x:c>
      <x:c r="B147" s="28" t="str">
        <x:v>female</x:v>
      </x:c>
      <x:c r="C147" s="27" t="str">
        <x:v>Concreteness of described organizational practices and their outcomes</x:v>
      </x:c>
      <x:c r="D147" s="27" t="str">
        <x:v>[Invalid response: zero fallback]</x:v>
      </x:c>
      <x:c r="E147" s="29" t="n">
        <x:v>0</x:v>
      </x:c>
      <x:c r="F147" s="27" t="str"/>
      <x:c r="G147" s="27" t="str">
        <x:v>The completed rating failed validation or did not match a valid response category. The saved pipeline assigned a flagged zero. This is a processing fallback, not a generated category.</x:v>
      </x:c>
      <x:c r="H147" s="31" t="n">
        <x:v>0</x:v>
      </x:c>
      <x:c r="I147" s="31" t="n">
        <x:v>0</x:v>
      </x:c>
      <x:c r="J147" s="32" t="str"/>
      <x:c r="K147" s="27" t="str"/>
      <x:c r="L147" s="27" t="str">
        <x:v>No category quotation is assigned to invalid responses.</x:v>
      </x:c>
      <x:c r="M147" s="27" t="str">
        <x:v>Invalid fallback</x:v>
      </x:c>
    </x:row>
    <x:row r="148" ht="30" customHeight="1">
      <x:c r="A148" s="26" t="str">
        <x:v>12. Severity of admitted organizational problems. F2-06. No close counterpart in this alignment.</x:v>
      </x:c>
      <x:c r="B148" s="26"/>
      <x:c r="C148" s="26"/>
      <x:c r="D148" s="26"/>
      <x:c r="E148" s="26"/>
      <x:c r="F148" s="26"/>
      <x:c r="G148" s="26"/>
      <x:c r="H148" s="26"/>
      <x:c r="I148" s="26"/>
      <x:c r="J148" s="26"/>
      <x:c r="K148" s="26"/>
      <x:c r="L148" s="26"/>
      <x:c r="M148" s="26"/>
    </x:row>
    <x:row r="149" ht="87.75" customHeight="1">
      <x:c r="A149" s="36" t="str">
        <x:v>F2-06</x:v>
      </x:c>
      <x:c r="B149" s="37" t="str">
        <x:v>female</x:v>
      </x:c>
      <x:c r="C149" s="36" t="str">
        <x:v>Severity of self-acknowledged organizational shortcomings or dysfunction</x:v>
      </x:c>
      <x:c r="D149" s="36" t="str">
        <x:v>No acknowledged shortcomings or limitations</x:v>
      </x:c>
      <x:c r="E149" s="38" t="n">
        <x:v>2</x:v>
      </x:c>
      <x:c r="F149" s="36" t="str">
        <x:v>I'm pretty well organized - not obsessive about it
organizational skills have supported both school and work</x:v>
      </x:c>
      <x:c r="G149" s="36" t="str">
        <x:v>The participant describes only organizational strengths and admits no weakness, limit, or dysfunctional area of their own. Examples: 'everything has a place and it should be in its place', describing organization as helping at work and school with no mention of any personal shortcoming, or a hedged claim like 'pretty well organized' that still discloses no actual limitation. Statements about other people's preferences (e.g., 'not everyone's brain functions better with a tidy environment') do not count as acknowledged shortcomings.</x:v>
      </x:c>
      <x:c r="H149" s="39" t="n">
        <x:v>52</x:v>
      </x:c>
      <x:c r="I149" s="39" t="n">
        <x:v>214</x:v>
      </x:c>
      <x:c r="J149" s="40" t="str">
        <x:v>626</x:v>
      </x:c>
      <x:c r="K149" s="36" t="str">
        <x:v>Training</x:v>
      </x:c>
      <x:c r="L149" s="36" t="str">
        <x:v>Exact quotation; saved under the selected category.</x:v>
      </x:c>
      <x:c r="M149" s="36" t="str">
        <x:v>Substantive</x:v>
      </x:c>
    </x:row>
    <x:row r="150" ht="73.5" customHeight="1">
      <x:c r="A150" s="8" t="str">
        <x:v>F2-06</x:v>
      </x:c>
      <x:c r="B150" s="33" t="str">
        <x:v>female</x:v>
      </x:c>
      <x:c r="C150" s="8" t="str">
        <x:v>Severity of self-acknowledged organizational shortcomings or dysfunction</x:v>
      </x:c>
      <x:c r="D150" s="8" t="str">
        <x:v>Bounded limitations or prioritization tradeoffs</x:v>
      </x:c>
      <x:c r="E150" s="34" t="n">
        <x:v>1</x:v>
      </x:c>
      <x:c r="F150" s="8" t="str">
        <x:v>not enough hours in the day to organize everything
Certain things get prioritized, and others get postponed
It's frustrating, but I guess that's life</x:v>
      </x:c>
      <x:c r="G150" s="8" t="str">
        <x:v>The participant acknowledges minor, practical limits on their organization while overall functioning remains intact. Examples: 'there are not enough hours in the day to organize everything as much as I'd like, certain things get prioritized and others postponed', 'sometimes I get distracted', or noting occasional missed deadlines as a disliked but bounded occurrence rather than a dysfunction.</x:v>
      </x:c>
      <x:c r="H150" s="22" t="n">
        <x:v>12</x:v>
      </x:c>
      <x:c r="I150" s="22" t="n">
        <x:v>67</x:v>
      </x:c>
      <x:c r="J150" s="35" t="str">
        <x:v>373</x:v>
      </x:c>
      <x:c r="K150" s="8" t="str">
        <x:v>Training</x:v>
      </x:c>
      <x:c r="L150" s="8" t="str">
        <x:v>Exact quotation; saved under the selected category.</x:v>
      </x:c>
      <x:c r="M150" s="8" t="str">
        <x:v>Substantive</x:v>
      </x:c>
    </x:row>
    <x:row r="151" ht="73.5" customHeight="1">
      <x:c r="A151" s="27" t="str">
        <x:v>F2-06</x:v>
      </x:c>
      <x:c r="B151" s="28" t="str">
        <x:v>female</x:v>
      </x:c>
      <x:c r="C151" s="27" t="str">
        <x:v>Severity of self-acknowledged organizational shortcomings or dysfunction</x:v>
      </x:c>
      <x:c r="D151" s="27" t="str">
        <x:v>Acknowledged inefficiency or functional struggle</x:v>
      </x:c>
      <x:c r="E151" s="29" t="n">
        <x:v>-1</x:v>
      </x:c>
      <x:c r="F151" s="27" t="str">
        <x:v>I may take a long route to do something</x:v>
      </x:c>
      <x:c r="G151" s="27" t="str">
        <x:v>The participant explicitly admits that their own approach is inefficient, that they function poorly under some conditions, or that they struggle to stay on top of things. Examples: 'I may take a long route to do something', 'I have realized that I do not function well around mess', describing oneself as forgetful or behind, or framing organization as necessary to avoid failing at tasks.</x:v>
      </x:c>
      <x:c r="H151" s="31" t="n">
        <x:v>22</x:v>
      </x:c>
      <x:c r="I151" s="31" t="n">
        <x:v>75</x:v>
      </x:c>
      <x:c r="J151" s="32" t="str">
        <x:v>22</x:v>
      </x:c>
      <x:c r="K151" s="27" t="str">
        <x:v>Training</x:v>
      </x:c>
      <x:c r="L151" s="27" t="str">
        <x:v>Exact quotation; saved under the selected category.</x:v>
      </x:c>
      <x:c r="M151" s="27" t="str">
        <x:v>Substantive</x:v>
      </x:c>
    </x:row>
    <x:row r="152" ht="59.25" customHeight="1">
      <x:c r="A152" s="8" t="str">
        <x:v>F2-06</x:v>
      </x:c>
      <x:c r="B152" s="33" t="str">
        <x:v>female</x:v>
      </x:c>
      <x:c r="C152" s="8" t="str">
        <x:v>Severity of self-acknowledged organizational shortcomings or dysfunction</x:v>
      </x:c>
      <x:c r="D152" s="8" t="str">
        <x:v>Severe self-described dysfunction in a life domain</x:v>
      </x:c>
      <x:c r="E152" s="34" t="n">
        <x:v>-2</x:v>
      </x:c>
      <x:c r="F152" s="8" t="str">
        <x:v>In my personal life I am an absolute disaster
I can keep on top of basic things like cooking</x:v>
      </x:c>
      <x:c r="G152" s="8" t="str">
        <x:v>The participant describes an entire area of life as disordered or collapsed, such as calling their personal life 'an absolute disaster' where they can barely keep on top of basics, or reporting that whole domains of responsibility are unmanaged despite organization elsewhere.</x:v>
      </x:c>
      <x:c r="H152" s="22" t="n">
        <x:v>4</x:v>
      </x:c>
      <x:c r="I152" s="22" t="n">
        <x:v>8</x:v>
      </x:c>
      <x:c r="J152" s="35" t="str">
        <x:v>255</x:v>
      </x:c>
      <x:c r="K152" s="8" t="str">
        <x:v>Training</x:v>
      </x:c>
      <x:c r="L152" s="8" t="str">
        <x:v>Exact quotation; saved under the selected category.</x:v>
      </x:c>
      <x:c r="M152" s="8" t="str">
        <x:v>Substantive</x:v>
      </x:c>
    </x:row>
    <x:row r="153" ht="59.25" customHeight="1">
      <x:c r="A153" s="27" t="str">
        <x:v>F2-06</x:v>
      </x:c>
      <x:c r="B153" s="28" t="str">
        <x:v>female</x:v>
      </x:c>
      <x:c r="C153" s="27" t="str">
        <x:v>Severity of self-acknowledged organizational shortcomings or dysfunction</x:v>
      </x:c>
      <x:c r="D153" s="27" t="str">
        <x:v>Uncertain</x:v>
      </x:c>
      <x:c r="E153" s="29" t="n">
        <x:v>0</x:v>
      </x:c>
      <x:c r="F153" s="27" t="str"/>
      <x:c r="G153" s="27" t="str">
        <x:v>The interview gives unclear or mixed evidence about whether the participant acknowledges shortcomings, such as brief ambiguous statements that could indicate either a bounded tradeoff or a real struggle, or an answer too short to judge.</x:v>
      </x:c>
      <x:c r="H153" s="31" t="n">
        <x:v>0</x:v>
      </x:c>
      <x:c r="I153" s="31" t="n">
        <x:v>0</x:v>
      </x:c>
      <x:c r="J153" s="32" t="str"/>
      <x:c r="K153" s="27" t="str"/>
      <x:c r="L153" s="27" t="str">
        <x:v>No participant received this category in training or holdout.</x:v>
      </x:c>
      <x:c r="M153" s="27" t="str">
        <x:v>Uncertain</x:v>
      </x:c>
    </x:row>
    <x:row r="154" ht="58.5" customHeight="1">
      <x:c r="A154" s="8" t="str">
        <x:v>F2-06</x:v>
      </x:c>
      <x:c r="B154" s="33" t="str">
        <x:v>female</x:v>
      </x:c>
      <x:c r="C154" s="8" t="str">
        <x:v>Severity of self-acknowledged organizational shortcomings or dysfunction</x:v>
      </x:c>
      <x:c r="D154" s="8" t="str">
        <x:v>[Invalid response: zero fallback]</x:v>
      </x:c>
      <x:c r="E154" s="34" t="n">
        <x:v>0</x:v>
      </x:c>
      <x:c r="F154" s="8" t="str"/>
      <x:c r="G154" s="8" t="str">
        <x:v>The completed rating failed validation or did not match a valid response category. The saved pipeline assigned a flagged zero. This is a processing fallback, not a generated category.</x:v>
      </x:c>
      <x:c r="H154" s="22" t="n">
        <x:v>2</x:v>
      </x:c>
      <x:c r="I154" s="22" t="n">
        <x:v>6</x:v>
      </x:c>
      <x:c r="J154" s="35" t="str"/>
      <x:c r="K154" s="8" t="str"/>
      <x:c r="L154" s="8" t="str">
        <x:v>No category quotation is assigned to invalid responses.</x:v>
      </x:c>
      <x:c r="M154" s="8" t="str">
        <x:v>Invalid fallback</x:v>
      </x:c>
    </x:row>
    <x:row r="155" ht="30" customHeight="1">
      <x:c r="A155" s="26" t="str">
        <x:v>13. Breadth of claimed benefits. F2-08. No close counterpart in this alignment.</x:v>
      </x:c>
      <x:c r="B155" s="26"/>
      <x:c r="C155" s="26"/>
      <x:c r="D155" s="26"/>
      <x:c r="E155" s="26"/>
      <x:c r="F155" s="26"/>
      <x:c r="G155" s="26"/>
      <x:c r="H155" s="26"/>
      <x:c r="I155" s="26"/>
      <x:c r="J155" s="26"/>
      <x:c r="K155" s="26"/>
      <x:c r="L155" s="26"/>
      <x:c r="M155" s="26"/>
    </x:row>
    <x:row r="156" ht="87.75" customHeight="1">
      <x:c r="A156" s="36" t="str">
        <x:v>F2-08</x:v>
      </x:c>
      <x:c r="B156" s="37" t="str">
        <x:v>female</x:v>
      </x:c>
      <x:c r="C156" s="36" t="str">
        <x:v>Breadth of life domains in which organization's benefits are claimed</x:v>
      </x:c>
      <x:c r="D156" s="36" t="str">
        <x:v>Benefits claimed across multiple distinct life domains</x:v>
      </x:c>
      <x:c r="E156" s="38" t="n">
        <x:v>2</x:v>
      </x:c>
      <x:c r="F156" s="36" t="str">
        <x:v>helped me be more efficient at work and more productive
helped me in school to achieve better grades
At work I have also saved time</x:v>
      </x:c>
      <x:c r="G156" s="36" t="str">
        <x:v>The participant describes organization helping or producing positive effects in two or more distinct contexts, such as work and school ('helped me be more efficient at work... also helped me in school to achieve better grades'), work and home ('at work it helps me get more work done... at home it just makes me happy'), or work and broader life ('helped me successfully work remotely for 4 years and keep my life in order'). The claims may be generic or specific but are not restricted to one setting and are not minimized.</x:v>
      </x:c>
      <x:c r="H156" s="39" t="n">
        <x:v>28</x:v>
      </x:c>
      <x:c r="I156" s="39" t="n">
        <x:v>96</x:v>
      </x:c>
      <x:c r="J156" s="40" t="str">
        <x:v>233</x:v>
      </x:c>
      <x:c r="K156" s="36" t="str">
        <x:v>Training</x:v>
      </x:c>
      <x:c r="L156" s="36" t="str">
        <x:v>Exact quotation; saved under the selected category.</x:v>
      </x:c>
      <x:c r="M156" s="36" t="str">
        <x:v>Substantive</x:v>
      </x:c>
    </x:row>
    <x:row r="157" ht="87.75" customHeight="1">
      <x:c r="A157" s="8" t="str">
        <x:v>F2-08</x:v>
      </x:c>
      <x:c r="B157" s="33" t="str">
        <x:v>female</x:v>
      </x:c>
      <x:c r="C157" s="8" t="str">
        <x:v>Breadth of life domains in which organization's benefits are claimed</x:v>
      </x:c>
      <x:c r="D157" s="8" t="str">
        <x:v>Benefits claimed for a single domain without minimization</x:v>
      </x:c>
      <x:c r="E157" s="34" t="n">
        <x:v>1</x:v>
      </x:c>
      <x:c r="F157" s="8" t="str">
        <x:v>I work in a bank and we are audited annually
if I were not as organized as I am, we would not have the successful ratings
careful organization of all of the files and documents
leads to a successful audit but also just makes the whole thing go very smoothly</x:v>
      </x:c>
      <x:c r="G157" s="8" t="str">
        <x:v>The participant describes the benefits of their organization in only one context (e.g., work only, or home only) but does not minimize the scope of what they organize, contrast it unfavorably with another domain, or deny effects elsewhere. Examples: describing how careful file organization leads to successful annual audits, or how an organized desk space improves efficiency, with no claim about other domains and no minimizing language.</x:v>
      </x:c>
      <x:c r="H157" s="22" t="n">
        <x:v>45</x:v>
      </x:c>
      <x:c r="I157" s="22" t="n">
        <x:v>153</x:v>
      </x:c>
      <x:c r="J157" s="35" t="str">
        <x:v>326</x:v>
      </x:c>
      <x:c r="K157" s="8" t="str">
        <x:v>Training</x:v>
      </x:c>
      <x:c r="L157" s="8" t="str">
        <x:v>Exact quotation; saved under the selected category.</x:v>
      </x:c>
      <x:c r="M157" s="8" t="str">
        <x:v>Substantive</x:v>
      </x:c>
    </x:row>
    <x:row r="158" ht="87.75" customHeight="1">
      <x:c r="A158" s="27" t="str">
        <x:v>F2-08</x:v>
      </x:c>
      <x:c r="B158" s="28" t="str">
        <x:v>female</x:v>
      </x:c>
      <x:c r="C158" s="27" t="str">
        <x:v>Breadth of life domains in which organization's benefits are claimed</x:v>
      </x:c>
      <x:c r="D158" s="27" t="str">
        <x:v>Benefits minimized, restricted, or explicitly denied</x:v>
      </x:c>
      <x:c r="E158" s="29" t="n">
        <x:v>-1</x:v>
      </x:c>
      <x:c r="F158" s="27" t="str">
        <x:v>I am more organized at work than I am at home
I don't care as much at home
It really helps at work to be organized</x:v>
      </x:c>
      <x:c r="G158" s="27" t="str">
        <x:v>The participant (a) attributes their tidiness to having little to manage rather than to their own organization ('I don't have too many materials to keep track of, so my deskspace is usually very neat'), (b) explicitly restricts organizational benefits to one setting while noting it does not extend elsewhere ('more organized at work than at home... I don't care as much at home'), or (c) denies that organization has affected their school or work outcomes ('this has never really effected me in school or work').</x:v>
      </x:c>
      <x:c r="H158" s="31" t="n">
        <x:v>10</x:v>
      </x:c>
      <x:c r="I158" s="31" t="n">
        <x:v>51</x:v>
      </x:c>
      <x:c r="J158" s="32" t="str">
        <x:v>9</x:v>
      </x:c>
      <x:c r="K158" s="27" t="str">
        <x:v>Training</x:v>
      </x:c>
      <x:c r="L158" s="27" t="str">
        <x:v>Exact quotation; saved under the selected category.</x:v>
      </x:c>
      <x:c r="M158" s="27" t="str">
        <x:v>Substantive</x:v>
      </x:c>
    </x:row>
    <x:row r="159" ht="59.25" customHeight="1">
      <x:c r="A159" s="8" t="str">
        <x:v>F2-08</x:v>
      </x:c>
      <x:c r="B159" s="33" t="str">
        <x:v>female</x:v>
      </x:c>
      <x:c r="C159" s="8" t="str">
        <x:v>Breadth of life domains in which organization's benefits are claimed</x:v>
      </x:c>
      <x:c r="D159" s="8" t="str">
        <x:v>Not applicable</x:v>
      </x:c>
      <x:c r="E159" s="34" t="n">
        <x:v>0</x:v>
      </x:c>
      <x:c r="F159" s="8" t="str">
        <x:v>I do believe that I am organised and it is one of my strengths
I am always making lists, checklists and documents
I do not like being unorganised, disorientated</x:v>
      </x:c>
      <x:c r="G159" s="8" t="str">
        <x:v>The interview describes the participant's organizational style, standards, or systems without making any claim about benefits, effects, or impact in any domain, so no breadth of claimed benefits can be observed.</x:v>
      </x:c>
      <x:c r="H159" s="22" t="n">
        <x:v>7</x:v>
      </x:c>
      <x:c r="I159" s="22" t="n">
        <x:v>53</x:v>
      </x:c>
      <x:c r="J159" s="35" t="str">
        <x:v>279</x:v>
      </x:c>
      <x:c r="K159" s="8" t="str">
        <x:v>Training</x:v>
      </x:c>
      <x:c r="L159" s="8" t="str">
        <x:v>Exact quotation; saved under the selected category.</x:v>
      </x:c>
      <x:c r="M159" s="8" t="str">
        <x:v>Not applicable</x:v>
      </x:c>
    </x:row>
    <x:row r="160" ht="59.25" customHeight="1">
      <x:c r="A160" s="27" t="str">
        <x:v>F2-08</x:v>
      </x:c>
      <x:c r="B160" s="28" t="str">
        <x:v>female</x:v>
      </x:c>
      <x:c r="C160" s="27" t="str">
        <x:v>Breadth of life domains in which organization's benefits are claimed</x:v>
      </x:c>
      <x:c r="D160" s="27" t="str">
        <x:v>Uncertain</x:v>
      </x:c>
      <x:c r="E160" s="29" t="n">
        <x:v>0</x:v>
      </x:c>
      <x:c r="F160" s="27" t="str">
        <x:v>At work or school, I am generally very good about completing tasks</x:v>
      </x:c>
      <x:c r="G160" s="27" t="str">
        <x:v>The interview gives unclear or mixed evidence about the breadth of claimed benefits, such as mentioning a benefit in passing without enough context to determine whether it applies to one or multiple domains, or pairing multi-domain claims with explicit denial of effects in a way that cannot be resolved.</x:v>
      </x:c>
      <x:c r="H160" s="31" t="n">
        <x:v>1</x:v>
      </x:c>
      <x:c r="I160" s="31" t="n">
        <x:v>15</x:v>
      </x:c>
      <x:c r="J160" s="32" t="str">
        <x:v>748</x:v>
      </x:c>
      <x:c r="K160" s="27" t="str">
        <x:v>Holdout</x:v>
      </x:c>
      <x:c r="L160" s="27" t="str">
        <x:v>Exact quotation; saved under the selected category.</x:v>
      </x:c>
      <x:c r="M160" s="27" t="str">
        <x:v>Uncertain</x:v>
      </x:c>
    </x:row>
    <x:row r="161" ht="58.5" customHeight="1">
      <x:c r="A161" s="8" t="str">
        <x:v>F2-08</x:v>
      </x:c>
      <x:c r="B161" s="33" t="str">
        <x:v>female</x:v>
      </x:c>
      <x:c r="C161" s="8" t="str">
        <x:v>Breadth of life domains in which organization's benefits are claimed</x:v>
      </x:c>
      <x:c r="D161" s="8" t="str">
        <x:v>[Invalid response: zero fallback]</x:v>
      </x:c>
      <x:c r="E161" s="34" t="n">
        <x:v>0</x:v>
      </x:c>
      <x:c r="F161" s="8" t="str"/>
      <x:c r="G161" s="8" t="str">
        <x:v>The completed rating failed validation or did not match a valid response category. The saved pipeline assigned a flagged zero. This is a processing fallback, not a generated category.</x:v>
      </x:c>
      <x:c r="H161" s="22" t="n">
        <x:v>1</x:v>
      </x:c>
      <x:c r="I161" s="22" t="n">
        <x:v>2</x:v>
      </x:c>
      <x:c r="J161" s="35" t="str"/>
      <x:c r="K161" s="8" t="str"/>
      <x:c r="L161" s="8" t="str">
        <x:v>No category quotation is assigned to invalid responses.</x:v>
      </x:c>
      <x:c r="M161" s="8" t="str">
        <x:v>Invalid fallback</x:v>
      </x:c>
    </x:row>
    <x:row r="162" ht="30" customHeight="1">
      <x:c r="A162" s="26" t="str">
        <x:v>14. Condition of home and personal organization. F2-10. No close counterpart in this alignment.</x:v>
      </x:c>
      <x:c r="B162" s="26"/>
      <x:c r="C162" s="26"/>
      <x:c r="D162" s="26"/>
      <x:c r="E162" s="26"/>
      <x:c r="F162" s="26"/>
      <x:c r="G162" s="26"/>
      <x:c r="H162" s="26"/>
      <x:c r="I162" s="26"/>
      <x:c r="J162" s="26"/>
      <x:c r="K162" s="26"/>
      <x:c r="L162" s="26"/>
      <x:c r="M162" s="26"/>
    </x:row>
    <x:row r="163" ht="73.5" customHeight="1">
      <x:c r="A163" s="36" t="str">
        <x:v>F2-10</x:v>
      </x:c>
      <x:c r="B163" s="37" t="str">
        <x:v>female</x:v>
      </x:c>
      <x:c r="C163" s="36" t="str">
        <x:v>Graded condition of the personal or home life domain</x:v>
      </x:c>
      <x:c r="D163" s="36" t="str">
        <x:v>Personal or home life described as organized and managed</x:v>
      </x:c>
      <x:c r="E163" s="38" t="n">
        <x:v>2</x:v>
      </x:c>
      <x:c r="F163" s="36" t="str">
        <x:v>I'd say i am very organized
organization is key to success in every thing both at work and at home
i use variety of tools like spreadsheets and project management tools</x:v>
      </x:c>
      <x:c r="G163" s="36" t="str">
        <x:v>The participant describes their personal life, home, or surrounding space as organized, orderly, or successfully managed, with systems that aid both work and personal matters, and no reported home dysfunction. Examples: describing a system for one's surrounding space and work style, applying organization to 'work or personal matters', or an organized home that supports daily life.</x:v>
      </x:c>
      <x:c r="H163" s="39" t="n">
        <x:v>31</x:v>
      </x:c>
      <x:c r="I163" s="39" t="n">
        <x:v>92</x:v>
      </x:c>
      <x:c r="J163" s="40" t="str">
        <x:v>887</x:v>
      </x:c>
      <x:c r="K163" s="36" t="str">
        <x:v>Training</x:v>
      </x:c>
      <x:c r="L163" s="36" t="str">
        <x:v>Exact quotation; saved under the selected category.</x:v>
      </x:c>
      <x:c r="M163" s="36" t="str">
        <x:v>Substantive</x:v>
      </x:c>
    </x:row>
    <x:row r="164" ht="59.25" customHeight="1">
      <x:c r="A164" s="8" t="str">
        <x:v>F2-10</x:v>
      </x:c>
      <x:c r="B164" s="33" t="str">
        <x:v>female</x:v>
      </x:c>
      <x:c r="C164" s="8" t="str">
        <x:v>Graded condition of the personal or home life domain</x:v>
      </x:c>
      <x:c r="D164" s="8" t="str">
        <x:v>Home mess mentioned neutrally or with indifference</x:v>
      </x:c>
      <x:c r="E164" s="34" t="n">
        <x:v>1</x:v>
      </x:c>
      <x:c r="F164" s="8" t="str">
        <x:v>I am more organized at work than I am at home
I don't care as much at home</x:v>
      </x:c>
      <x:c r="G164" s="8" t="str">
        <x:v>The participant acknowledges being less organized or caring less at home, but describes the home mess without distress, consequence, or struggle. Examples: 'I am more organized at work than I am at home. I don't care as much at home', or an 'organized mess' the participant navigates without reported difficulty.</x:v>
      </x:c>
      <x:c r="H164" s="22" t="n">
        <x:v>1</x:v>
      </x:c>
      <x:c r="I164" s="22" t="n">
        <x:v>24</x:v>
      </x:c>
      <x:c r="J164" s="35" t="str">
        <x:v>9</x:v>
      </x:c>
      <x:c r="K164" s="8" t="str">
        <x:v>Training</x:v>
      </x:c>
      <x:c r="L164" s="8" t="str">
        <x:v>Exact quotation; saved under the selected category.</x:v>
      </x:c>
      <x:c r="M164" s="8" t="str">
        <x:v>Substantive</x:v>
      </x:c>
    </x:row>
    <x:row r="165" ht="73.5" customHeight="1">
      <x:c r="A165" s="27" t="str">
        <x:v>F2-10</x:v>
      </x:c>
      <x:c r="B165" s="28" t="str">
        <x:v>female</x:v>
      </x:c>
      <x:c r="C165" s="27" t="str">
        <x:v>Graded condition of the personal or home life domain</x:v>
      </x:c>
      <x:c r="D165" s="27" t="str">
        <x:v>Home disorganization with piles, putting off, or forgetting to tidy</x:v>
      </x:c>
      <x:c r="E165" s="29" t="n">
        <x:v>-1</x:v>
      </x:c>
      <x:c r="F165" s="27" t="str">
        <x:v>I am much more organized at work than I am at home
terrible at putting things back where they belong
areas in almost every room of piles of things
put it off for long periods</x:v>
      </x:c>
      <x:c r="G165" s="27" t="str">
        <x:v>The participant describes concrete home dysfunction: piles of things needing to be put away, putting off organizing for long periods, or forgetting to tidy items once out of sight, without describing embarrassment or inability to manage basics. Examples: 'areas in almost every room of piles of things that need to be put away', 'I tend to leave things out and not put away'.</x:v>
      </x:c>
      <x:c r="H165" s="31" t="n">
        <x:v>2</x:v>
      </x:c>
      <x:c r="I165" s="31" t="n">
        <x:v>15</x:v>
      </x:c>
      <x:c r="J165" s="32" t="str">
        <x:v>302</x:v>
      </x:c>
      <x:c r="K165" s="27" t="str">
        <x:v>Training</x:v>
      </x:c>
      <x:c r="L165" s="27" t="str">
        <x:v>Exact quotation; saved under the selected category.</x:v>
      </x:c>
      <x:c r="M165" s="27" t="str">
        <x:v>Substantive</x:v>
      </x:c>
    </x:row>
    <x:row r="166" ht="73.5" customHeight="1">
      <x:c r="A166" s="8" t="str">
        <x:v>F2-10</x:v>
      </x:c>
      <x:c r="B166" s="33" t="str">
        <x:v>female</x:v>
      </x:c>
      <x:c r="C166" s="8" t="str">
        <x:v>Graded condition of the personal or home life domain</x:v>
      </x:c>
      <x:c r="D166" s="8" t="str">
        <x:v>Home disorganization with embarrassment, avoidance, or difficulty being proactive</x:v>
      </x:c>
      <x:c r="E166" s="34" t="n">
        <x:v>-2</x:v>
      </x:c>
      <x:c r="F166" s="8" t="str">
        <x:v>completely unorganized at home in my personal space
I will clean up, because it is embarrassing otherwise
hard time being proactive with cleaning and organizing</x:v>
      </x:c>
      <x:c r="G166" s="8" t="str">
        <x:v>The participant describes home disorder that carries negative social or emotional weight or active difficulty maintaining it: cleaning only when guests are expected because it is embarrassing otherwise, having a hard time being proactive with cleaning and organizing, or feeling generally disorganized by the state of the home space.</x:v>
      </x:c>
      <x:c r="H166" s="22" t="n">
        <x:v>5</x:v>
      </x:c>
      <x:c r="I166" s="22" t="n">
        <x:v>6</x:v>
      </x:c>
      <x:c r="J166" s="35" t="str">
        <x:v>432</x:v>
      </x:c>
      <x:c r="K166" s="8" t="str">
        <x:v>Training</x:v>
      </x:c>
      <x:c r="L166" s="8" t="str">
        <x:v>Exact quotation; saved under the selected category.</x:v>
      </x:c>
      <x:c r="M166" s="8" t="str">
        <x:v>Substantive</x:v>
      </x:c>
    </x:row>
    <x:row r="167" ht="59.25" customHeight="1">
      <x:c r="A167" s="27" t="str">
        <x:v>F2-10</x:v>
      </x:c>
      <x:c r="B167" s="28" t="str">
        <x:v>female</x:v>
      </x:c>
      <x:c r="C167" s="27" t="str">
        <x:v>Graded condition of the personal or home life domain</x:v>
      </x:c>
      <x:c r="D167" s="27" t="str">
        <x:v>Personal life described as collapsed or disastrous</x:v>
      </x:c>
      <x:c r="E167" s="29" t="n">
        <x:v>-3</x:v>
      </x:c>
      <x:c r="F167" s="27" t="str">
        <x:v>In my personal life I am an absolute disaster
I am all or nothing</x:v>
      </x:c>
      <x:c r="G167" s="27" t="str">
        <x:v>The participant characterizes their entire personal life as disordered or nonfunctional, such as calling it 'an absolute disaster', struggling to stay on top of basic things like cooking, eating, cleaning, or paying bills, or describing an 'all or nothing' pattern that leaves the personal domain unmanaged.</x:v>
      </x:c>
      <x:c r="H167" s="31" t="n">
        <x:v>2</x:v>
      </x:c>
      <x:c r="I167" s="31" t="n">
        <x:v>0</x:v>
      </x:c>
      <x:c r="J167" s="32" t="str">
        <x:v>255</x:v>
      </x:c>
      <x:c r="K167" s="27" t="str">
        <x:v>Training</x:v>
      </x:c>
      <x:c r="L167" s="27" t="str">
        <x:v>Exact quotation; saved under the selected category.</x:v>
      </x:c>
      <x:c r="M167" s="27" t="str">
        <x:v>Substantive</x:v>
      </x:c>
    </x:row>
    <x:row r="168" ht="73.5" customHeight="1">
      <x:c r="A168" s="8" t="str">
        <x:v>F2-10</x:v>
      </x:c>
      <x:c r="B168" s="33" t="str">
        <x:v>female</x:v>
      </x:c>
      <x:c r="C168" s="8" t="str">
        <x:v>Graded condition of the personal or home life domain</x:v>
      </x:c>
      <x:c r="D168" s="8" t="str">
        <x:v>Not applicable</x:v>
      </x:c>
      <x:c r="E168" s="34" t="n">
        <x:v>0</x:v>
      </x:c>
      <x:c r="F168" s="8" t="str">
        <x:v>I am very organised and have always been
always have the tools prepared to do whatever I need
This has helped me at school and work
I like to be organised when I have to solve problems at work</x:v>
      </x:c>
      <x:c r="G168" s="8" t="str">
        <x:v>The interview describes only work, school, tools, planning, or general self-assessment without any mention of the participant's personal life, home, or living space, so no home-domain condition can be observed. Do not infer home disorganization from silence.</x:v>
      </x:c>
      <x:c r="H168" s="22" t="n">
        <x:v>50</x:v>
      </x:c>
      <x:c r="I168" s="22" t="n">
        <x:v>220</x:v>
      </x:c>
      <x:c r="J168" s="35" t="str">
        <x:v>545</x:v>
      </x:c>
      <x:c r="K168" s="8" t="str">
        <x:v>Training</x:v>
      </x:c>
      <x:c r="L168" s="8" t="str">
        <x:v>Exact quotation; saved under the selected category.</x:v>
      </x:c>
      <x:c r="M168" s="8" t="str">
        <x:v>Not applicable</x:v>
      </x:c>
    </x:row>
    <x:row r="169" ht="58.5" customHeight="1">
      <x:c r="A169" s="27" t="str">
        <x:v>F2-10</x:v>
      </x:c>
      <x:c r="B169" s="28" t="str">
        <x:v>female</x:v>
      </x:c>
      <x:c r="C169" s="27" t="str">
        <x:v>Graded condition of the personal or home life domain</x:v>
      </x:c>
      <x:c r="D169" s="27" t="str">
        <x:v>Uncertain</x:v>
      </x:c>
      <x:c r="E169" s="29" t="n">
        <x:v>0</x:v>
      </x:c>
      <x:c r="F169" s="27" t="str">
        <x:v>Though I struggle with organization at home</x:v>
      </x:c>
      <x:c r="G169" s="27" t="str">
        <x:v>The interview mentions the personal or home domain only in passing or gives mixed evidence, such that the state of home organization cannot be determined.</x:v>
      </x:c>
      <x:c r="H169" s="31" t="n">
        <x:v>1</x:v>
      </x:c>
      <x:c r="I169" s="31" t="n">
        <x:v>12</x:v>
      </x:c>
      <x:c r="J169" s="32" t="str">
        <x:v>286</x:v>
      </x:c>
      <x:c r="K169" s="27" t="str">
        <x:v>Training</x:v>
      </x:c>
      <x:c r="L169" s="27" t="str">
        <x:v>Exact quotation; saved under the selected category.</x:v>
      </x:c>
      <x:c r="M169" s="27" t="str">
        <x:v>Uncertain</x:v>
      </x:c>
    </x:row>
    <x:row r="170" ht="58.5" customHeight="1">
      <x:c r="A170" s="8" t="str">
        <x:v>F2-10</x:v>
      </x:c>
      <x:c r="B170" s="33" t="str">
        <x:v>female</x:v>
      </x:c>
      <x:c r="C170" s="8" t="str">
        <x:v>Graded condition of the personal or home life domain</x:v>
      </x:c>
      <x:c r="D170" s="8" t="str">
        <x:v>[Invalid response: zero fallback]</x:v>
      </x:c>
      <x:c r="E170" s="34" t="n">
        <x:v>0</x:v>
      </x:c>
      <x:c r="F170" s="8" t="str"/>
      <x:c r="G170" s="8" t="str">
        <x:v>The completed rating failed validation or did not match a valid response category. The saved pipeline assigned a flagged zero. This is a processing fallback, not a generated category.</x:v>
      </x:c>
      <x:c r="H170" s="22" t="n">
        <x:v>0</x:v>
      </x:c>
      <x:c r="I170" s="22" t="n">
        <x:v>1</x:v>
      </x:c>
      <x:c r="J170" s="35" t="str"/>
      <x:c r="K170" s="8" t="str"/>
      <x:c r="L170" s="8" t="str">
        <x:v>No category quotation is assigned to invalid responses.</x:v>
      </x:c>
      <x:c r="M170" s="8" t="str">
        <x:v>Invalid fallback</x:v>
      </x:c>
    </x:row>
    <x:row r="171" ht="30" customHeight="1">
      <x:c r="A171" s="26" t="str">
        <x:v>15. External systems versus remembered order. F2-13. No close counterpart in this alignment.</x:v>
      </x:c>
      <x:c r="B171" s="26"/>
      <x:c r="C171" s="26"/>
      <x:c r="D171" s="26"/>
      <x:c r="E171" s="26"/>
      <x:c r="F171" s="26"/>
      <x:c r="G171" s="26"/>
      <x:c r="H171" s="26"/>
      <x:c r="I171" s="26"/>
      <x:c r="J171" s="26"/>
      <x:c r="K171" s="26"/>
      <x:c r="L171" s="26"/>
      <x:c r="M171" s="26"/>
    </x:row>
    <x:row r="172" ht="116.25" customHeight="1">
      <x:c r="A172" s="36" t="str">
        <x:v>F2-13</x:v>
      </x:c>
      <x:c r="B172" s="37" t="str">
        <x:v>female</x:v>
      </x:c>
      <x:c r="C172" s="36" t="str">
        <x:v>Externalized organizational systems versus memory-based organization within apparent disorder</x:v>
      </x:c>
      <x:c r="D172" s="36" t="str">
        <x:v>Externalized systems, places, or written artifacts carry the order</x:v>
      </x:c>
      <x:c r="E172" s="38" t="n">
        <x:v>2</x:v>
      </x:c>
      <x:c r="F172" s="36" t="str">
        <x:v>everything to have a logical and tidy spot
I like to know where things are
notes well written out in a logical way
find the information I am looking for quickly
keep my work station functional</x:v>
      </x:c>
      <x:c r="G172" s="36" t="str">
        <x:v>The participant describes order as residing in external, persistent structures: designated places for every item, labeled or color-coded binders and folders, written calendars and schedules, filing by date, physical planners, or organized storage that anyone could in principle use for retrieval. Retrieval of information or items depends on the system rather than on the participant's recall. Examples: 'everything has a place and it should be in its place', 'I keep colored binders for all the organizations I work with', 'I schedule all of my vision and hearing testing at all seven schools', 'I like to file things by date so I can remember where things are'.</x:v>
      </x:c>
      <x:c r="H172" s="39" t="n">
        <x:v>40</x:v>
      </x:c>
      <x:c r="I172" s="39" t="n">
        <x:v>166</x:v>
      </x:c>
      <x:c r="J172" s="40" t="str">
        <x:v>202</x:v>
      </x:c>
      <x:c r="K172" s="36" t="str">
        <x:v>Training</x:v>
      </x:c>
      <x:c r="L172" s="36" t="str">
        <x:v>Exact quotation; saved under the selected category.</x:v>
      </x:c>
      <x:c r="M172" s="36" t="str">
        <x:v>Substantive</x:v>
      </x:c>
    </x:row>
    <x:row r="173" ht="87.75" customHeight="1">
      <x:c r="A173" s="8" t="str">
        <x:v>F2-13</x:v>
      </x:c>
      <x:c r="B173" s="33" t="str">
        <x:v>female</x:v>
      </x:c>
      <x:c r="C173" s="8" t="str">
        <x:v>Externalized organizational systems versus memory-based organization within apparent disorder</x:v>
      </x:c>
      <x:c r="D173" s="8" t="str">
        <x:v>Mix of external aids and personal memory</x:v>
      </x:c>
      <x:c r="E173" s="34" t="n">
        <x:v>1</x:v>
      </x:c>
      <x:c r="F173" s="8" t="str">
        <x:v>I always have a pile of papers that I need to deal with
I always knew where to find what I needed</x:v>
      </x:c>
      <x:c r="G173" s="8" t="str">
        <x:v>The participant describes at least one external aid or place-based arrangement but also relies on personal recall, mental tracking, or an idiosyncratic arrangement whose order is partly in their head. Examples: keeping inventory sheets accessible while also mentally juggling what to do later, using a phone planner alongside a largely self-managed workflow, or describing a place-based system that only partially covers their tasks.</x:v>
      </x:c>
      <x:c r="H173" s="22" t="n">
        <x:v>7</x:v>
      </x:c>
      <x:c r="I173" s="22" t="n">
        <x:v>35</x:v>
      </x:c>
      <x:c r="J173" s="35" t="str">
        <x:v>505</x:v>
      </x:c>
      <x:c r="K173" s="8" t="str">
        <x:v>Training</x:v>
      </x:c>
      <x:c r="L173" s="8" t="str">
        <x:v>Exact quotation; saved under the selected category.</x:v>
      </x:c>
      <x:c r="M173" s="8" t="str">
        <x:v>Substantive</x:v>
      </x:c>
    </x:row>
    <x:row r="174" ht="102" customHeight="1">
      <x:c r="A174" s="27" t="str">
        <x:v>F2-13</x:v>
      </x:c>
      <x:c r="B174" s="28" t="str">
        <x:v>female</x:v>
      </x:c>
      <x:c r="C174" s="27" t="str">
        <x:v>Externalized organizational systems versus memory-based organization within apparent disorder</x:v>
      </x:c>
      <x:c r="D174" s="27" t="str">
        <x:v>Memory-based order within apparent disorder</x:v>
      </x:c>
      <x:c r="E174" s="29" t="n">
        <x:v>-1</x:v>
      </x:c>
      <x:c r="F174" s="27" t="str">
        <x:v>I am organized but in a disorganized way
my desk, have been described as organized chaos
looks like a mess and things are all over the place
I could tell you exactly where to find a paperclip
It may not work for some, if not most people</x:v>
      </x:c>
      <x:c r="G174" s="27" t="str">
        <x:v>The participant explicitly describes knowing where things are or how work is sequenced through their own memory or mental system, while the physical space looks disordered or unordered to others. Examples: 'on the surface it looks like a mess... I could tell you exactly where to find a paperclip or a specific document within my mess', 'papers sorted in no real order but they are in order', a desk pile whose priority logic exists only in the participant's understanding, or organizing through 'my thought process and ways of going about things' rather than through any external structure.</x:v>
      </x:c>
      <x:c r="H174" s="31" t="n">
        <x:v>4</x:v>
      </x:c>
      <x:c r="I174" s="31" t="n">
        <x:v>22</x:v>
      </x:c>
      <x:c r="J174" s="32" t="str">
        <x:v>131</x:v>
      </x:c>
      <x:c r="K174" s="27" t="str">
        <x:v>Training</x:v>
      </x:c>
      <x:c r="L174" s="27" t="str">
        <x:v>Exact quotation; saved under the selected category.</x:v>
      </x:c>
      <x:c r="M174" s="27" t="str">
        <x:v>Substantive</x:v>
      </x:c>
    </x:row>
    <x:row r="175" ht="87.75" customHeight="1">
      <x:c r="A175" s="8" t="str">
        <x:v>F2-13</x:v>
      </x:c>
      <x:c r="B175" s="33" t="str">
        <x:v>female</x:v>
      </x:c>
      <x:c r="C175" s="8" t="str">
        <x:v>Externalized organizational systems versus memory-based organization within apparent disorder</x:v>
      </x:c>
      <x:c r="D175" s="8" t="str">
        <x:v>Not applicable</x:v>
      </x:c>
      <x:c r="E175" s="34" t="n">
        <x:v>0</x:v>
      </x:c>
      <x:c r="F175" s="8" t="str">
        <x:v>I feel that I'm very organised
I take extra time to make notes and revise
increases my self-confidence and makes me feel less anxious
having everything I might need to hand
makes me feel calmer and less nervous</x:v>
      </x:c>
      <x:c r="G175" s="8" t="str">
        <x:v>The interview describes standards, self-assessments, motivation, effects, or emotional reactions without indicating how items, tasks, or information are actually stored, tracked, or retrieved, so no medium of organization can be observed. Do not infer memory-based organization from silence.</x:v>
      </x:c>
      <x:c r="H175" s="22" t="n">
        <x:v>31</x:v>
      </x:c>
      <x:c r="I175" s="22" t="n">
        <x:v>113</x:v>
      </x:c>
      <x:c r="J175" s="35" t="str">
        <x:v>498</x:v>
      </x:c>
      <x:c r="K175" s="8" t="str">
        <x:v>Training</x:v>
      </x:c>
      <x:c r="L175" s="8" t="str">
        <x:v>Exact quotation; saved under the selected category.</x:v>
      </x:c>
      <x:c r="M175" s="8" t="str">
        <x:v>Not applicable</x:v>
      </x:c>
    </x:row>
    <x:row r="176" ht="58.5" customHeight="1">
      <x:c r="A176" s="27" t="str">
        <x:v>F2-13</x:v>
      </x:c>
      <x:c r="B176" s="28" t="str">
        <x:v>female</x:v>
      </x:c>
      <x:c r="C176" s="27" t="str">
        <x:v>Externalized organizational systems versus memory-based organization within apparent disorder</x:v>
      </x:c>
      <x:c r="D176" s="27" t="str">
        <x:v>Uncertain</x:v>
      </x:c>
      <x:c r="E176" s="29" t="n">
        <x:v>0</x:v>
      </x:c>
      <x:c r="F176" s="27" t="str">
        <x:v>I then plan all my daily tasks in order</x:v>
      </x:c>
      <x:c r="G176" s="27" t="str">
        <x:v>The interview gives mixed or too-brief evidence about whether order is externalized or memory-based, such as mentioning a tool in passing without indicating whether retrieval depends on it or on personal recall.</x:v>
      </x:c>
      <x:c r="H176" s="31" t="n">
        <x:v>9</x:v>
      </x:c>
      <x:c r="I176" s="31" t="n">
        <x:v>28</x:v>
      </x:c>
      <x:c r="J176" s="32" t="str">
        <x:v>692</x:v>
      </x:c>
      <x:c r="K176" s="27" t="str">
        <x:v>Training</x:v>
      </x:c>
      <x:c r="L176" s="27" t="str">
        <x:v>Exact quotation; saved under the selected category.</x:v>
      </x:c>
      <x:c r="M176" s="27" t="str">
        <x:v>Uncertain</x:v>
      </x:c>
    </x:row>
    <x:row r="177" ht="58.5" customHeight="1">
      <x:c r="A177" s="8" t="str">
        <x:v>F2-13</x:v>
      </x:c>
      <x:c r="B177" s="33" t="str">
        <x:v>female</x:v>
      </x:c>
      <x:c r="C177" s="8" t="str">
        <x:v>Externalized organizational systems versus memory-based organization within apparent disorder</x:v>
      </x:c>
      <x:c r="D177" s="8" t="str">
        <x:v>[Invalid response: zero fallback]</x:v>
      </x:c>
      <x:c r="E177" s="34" t="n">
        <x:v>0</x:v>
      </x:c>
      <x:c r="F177" s="8" t="str"/>
      <x:c r="G177" s="8" t="str">
        <x:v>The completed rating failed validation or did not match a valid response category. The saved pipeline assigned a flagged zero. This is a processing fallback, not a generated category.</x:v>
      </x:c>
      <x:c r="H177" s="22" t="n">
        <x:v>1</x:v>
      </x:c>
      <x:c r="I177" s="22" t="n">
        <x:v>6</x:v>
      </x:c>
      <x:c r="J177" s="35" t="str"/>
      <x:c r="K177" s="8" t="str"/>
      <x:c r="L177" s="8" t="str">
        <x:v>No category quotation is assigned to invalid responses.</x:v>
      </x:c>
      <x:c r="M177" s="8" t="str">
        <x:v>Invalid fallback</x:v>
      </x:c>
    </x:row>
    <x:row r="178" ht="30" customHeight="1">
      <x:c r="A178" s="26" t="str">
        <x:v>16. Referent of organizational value claims. F2-14. No close counterpart in this alignment.</x:v>
      </x:c>
      <x:c r="B178" s="26"/>
      <x:c r="C178" s="26"/>
      <x:c r="D178" s="26"/>
      <x:c r="E178" s="26"/>
      <x:c r="F178" s="26"/>
      <x:c r="G178" s="26"/>
      <x:c r="H178" s="26"/>
      <x:c r="I178" s="26"/>
      <x:c r="J178" s="26"/>
      <x:c r="K178" s="26"/>
      <x:c r="L178" s="26"/>
      <x:c r="M178" s="26"/>
    </x:row>
    <x:row r="179" ht="102" customHeight="1">
      <x:c r="A179" s="36" t="str">
        <x:v>F2-14</x:v>
      </x:c>
      <x:c r="B179" s="37" t="str">
        <x:v>female</x:v>
      </x:c>
      <x:c r="C179" s="36" t="str">
        <x:v>Referent of organizational value claims</x:v>
      </x:c>
      <x:c r="D179" s="36" t="str">
        <x:v>Universal necessity or benefit asserted</x:v>
      </x:c>
      <x:c r="E179" s="38" t="n">
        <x:v>2</x:v>
      </x:c>
      <x:c r="F179" s="36" t="str">
        <x:v>If you can set up a system, even if it's a bit loose, your work will go more smoothly
your house will be more orderly and pleasant
being organized means you don't have to worry where you put something
saves a lot of time like when you're making a shopping list</x:v>
      </x:c>
      <x:c r="G179" s="36" t="str">
        <x:v>The participant presents organization as necessary or beneficial for people generally, not just for themselves: blanket value claims ('organization is key to success in every thing'), universal prescriptions about what anyone should do or own ('if you don't have a place for something then you don't need that item'), or unqualified generic maxims about what organization does for anyone ('being organized means you don't have to worry where you put something', 'if you can set up a system, even a bit loose, your work will go more smoothly'), with no acknowledgment that organizational needs or styles vary across people.</x:v>
      </x:c>
      <x:c r="H179" s="39" t="n">
        <x:v>5</x:v>
      </x:c>
      <x:c r="I179" s="39" t="n">
        <x:v>23</x:v>
      </x:c>
      <x:c r="J179" s="40" t="str">
        <x:v>373</x:v>
      </x:c>
      <x:c r="K179" s="36" t="str">
        <x:v>Training</x:v>
      </x:c>
      <x:c r="L179" s="36" t="str">
        <x:v>Exact quotation; saved under the selected category.</x:v>
      </x:c>
      <x:c r="M179" s="36" t="str">
        <x:v>Substantive</x:v>
      </x:c>
    </x:row>
    <x:row r="180" ht="102" customHeight="1">
      <x:c r="A180" s="8" t="str">
        <x:v>F2-14</x:v>
      </x:c>
      <x:c r="B180" s="33" t="str">
        <x:v>female</x:v>
      </x:c>
      <x:c r="C180" s="8" t="str">
        <x:v>Referent of organizational value claims</x:v>
      </x:c>
      <x:c r="D180" s="8" t="str">
        <x:v>Claims strictly self-referenced without reference to other people</x:v>
      </x:c>
      <x:c r="E180" s="34" t="n">
        <x:v>1</x:v>
      </x:c>
      <x:c r="F180" s="8" t="str">
        <x:v>I am pretty organized
I like things to be neat and tidy
At work it helps me to get more work done
At home it just makes me happy</x:v>
      </x:c>
      <x:c r="G180" s="8" t="str">
        <x:v>All of the participant's claims about organization's value, necessity, or their own level of organization concern only themselves, their functioning, their role, or their own practices ('I do not function well around mess', 'I know I have to have a professional, organized work space', 'at home it just makes me happy', 'things must be tidy and highly organized for me to do well'), with no statement about people in general, no comparison to other people, and no acknowledgment that others' needs differ. Comparisons within the participant's own life (e.g., 'more organized at work than at home') belong here, not in the comparative category.</x:v>
      </x:c>
      <x:c r="H180" s="22" t="n">
        <x:v>78</x:v>
      </x:c>
      <x:c r="I180" s="22" t="n">
        <x:v>297</x:v>
      </x:c>
      <x:c r="J180" s="35" t="str">
        <x:v>437</x:v>
      </x:c>
      <x:c r="K180" s="8" t="str">
        <x:v>Training</x:v>
      </x:c>
      <x:c r="L180" s="8" t="str">
        <x:v>Exact quotation; saved under the selected category.</x:v>
      </x:c>
      <x:c r="M180" s="8" t="str">
        <x:v>Substantive</x:v>
      </x:c>
    </x:row>
    <x:row r="181" ht="116.25" customHeight="1">
      <x:c r="A181" s="27" t="str">
        <x:v>F2-14</x:v>
      </x:c>
      <x:c r="B181" s="28" t="str">
        <x:v>female</x:v>
      </x:c>
      <x:c r="C181" s="27" t="str">
        <x:v>Referent of organizational value claims</x:v>
      </x:c>
      <x:c r="D181" s="27" t="str">
        <x:v>Organizational value or standing comparatively benchmarked or relativized across people</x:v>
      </x:c>
      <x:c r="E181" s="29" t="n">
        <x:v>-1</x:v>
      </x:c>
      <x:c r="F181" s="27" t="str">
        <x:v>I realize that not everyone's brain functions better with a tidy environment</x:v>
      </x:c>
      <x:c r="G181" s="27" t="str">
        <x:v>Either (a) explicit relativization: the participant states or acknowledges that organizational needs, styles, or benefits differ across individuals, or that their approach works only for some people ('I realize that not everyone's brain functions better with a tidy environment', 'It may not work for some, if not most people, for the girls that get it get it'), or (b) social or external benchmarking of their own organization ('I would say that I am more organized than most people', 'on a scale of 1 to 10, I'd rate myself as a 6 in terms of organization'). Explicit acknowledgment of individual differences takes precedence over generic maxims also present in the account.</x:v>
      </x:c>
      <x:c r="H181" s="31" t="n">
        <x:v>5</x:v>
      </x:c>
      <x:c r="I181" s="31" t="n">
        <x:v>38</x:v>
      </x:c>
      <x:c r="J181" s="32" t="str">
        <x:v>537</x:v>
      </x:c>
      <x:c r="K181" s="27" t="str">
        <x:v>Training</x:v>
      </x:c>
      <x:c r="L181" s="27" t="str">
        <x:v>Exact quotation; saved under the selected category.</x:v>
      </x:c>
      <x:c r="M181" s="27" t="str">
        <x:v>Substantive</x:v>
      </x:c>
    </x:row>
    <x:row r="182" ht="59.25" customHeight="1">
      <x:c r="A182" s="8" t="str">
        <x:v>F2-14</x:v>
      </x:c>
      <x:c r="B182" s="33" t="str">
        <x:v>female</x:v>
      </x:c>
      <x:c r="C182" s="8" t="str">
        <x:v>Referent of organizational value claims</x:v>
      </x:c>
      <x:c r="D182" s="8" t="str">
        <x:v>Uncertain</x:v>
      </x:c>
      <x:c r="E182" s="34" t="n">
        <x:v>0</x:v>
      </x:c>
      <x:c r="F182" s="8" t="str">
        <x:v>classmates will text me and ask for information on school dealings</x:v>
      </x:c>
      <x:c r="G182" s="8" t="str">
        <x:v>The interview gives mixed or too-brief evidence, such as pairing a universal maxim with an individual-difference acknowledgment that cannot be resolved, mentioning other people in a way that is neither comparison nor relativization, or making no clear claim about organizational value or standing.</x:v>
      </x:c>
      <x:c r="H182" s="22" t="n">
        <x:v>1</x:v>
      </x:c>
      <x:c r="I182" s="22" t="n">
        <x:v>10</x:v>
      </x:c>
      <x:c r="J182" s="35" t="str">
        <x:v>623</x:v>
      </x:c>
      <x:c r="K182" s="8" t="str">
        <x:v>Training</x:v>
      </x:c>
      <x:c r="L182" s="8" t="str">
        <x:v>Exact quotation; saved under the selected category.</x:v>
      </x:c>
      <x:c r="M182" s="8" t="str">
        <x:v>Uncertain</x:v>
      </x:c>
    </x:row>
    <x:row r="183" ht="58.5" customHeight="1">
      <x:c r="A183" s="27" t="str">
        <x:v>F2-14</x:v>
      </x:c>
      <x:c r="B183" s="28" t="str">
        <x:v>female</x:v>
      </x:c>
      <x:c r="C183" s="27" t="str">
        <x:v>Referent of organizational value claims</x:v>
      </x:c>
      <x:c r="D183" s="27" t="str">
        <x:v>[Invalid response: zero fallback]</x:v>
      </x:c>
      <x:c r="E183" s="29" t="n">
        <x:v>0</x:v>
      </x:c>
      <x:c r="F183" s="27" t="str"/>
      <x:c r="G183" s="27" t="str">
        <x:v>The completed rating failed validation or did not match a valid response category. The saved pipeline assigned a flagged zero. This is a processing fallback, not a generated category.</x:v>
      </x:c>
      <x:c r="H183" s="31" t="n">
        <x:v>3</x:v>
      </x:c>
      <x:c r="I183" s="31" t="n">
        <x:v>2</x:v>
      </x:c>
      <x:c r="J183" s="32" t="str"/>
      <x:c r="K183" s="27" t="str"/>
      <x:c r="L183" s="27" t="str">
        <x:v>No category quotation is assigned to invalid responses.</x:v>
      </x:c>
      <x:c r="M183" s="27" t="str">
        <x:v>Invalid fallback</x:v>
      </x:c>
    </x:row>
    <x:row r="184" ht="30" customHeight="1">
      <x:c r="A184" s="26" t="str">
        <x:v>17. Planning execution versus personal logistics. M2-11. No close counterpart in this alignment.</x:v>
      </x:c>
      <x:c r="B184" s="26"/>
      <x:c r="C184" s="26"/>
      <x:c r="D184" s="26"/>
      <x:c r="E184" s="26"/>
      <x:c r="F184" s="26"/>
      <x:c r="G184" s="26"/>
      <x:c r="H184" s="26"/>
      <x:c r="I184" s="26"/>
      <x:c r="J184" s="26"/>
      <x:c r="K184" s="26"/>
      <x:c r="L184" s="26"/>
      <x:c r="M184" s="26"/>
    </x:row>
    <x:row r="185" ht="87.75" customHeight="1">
      <x:c r="A185" s="36" t="str">
        <x:v>M2-11</x:v>
      </x:c>
      <x:c r="B185" s="37" t="str">
        <x:v>male</x:v>
      </x:c>
      <x:c r="C185" s="36" t="str">
        <x:v>Execution planning versus personal logistics and task tracking</x:v>
      </x:c>
      <x:c r="D185" s="36" t="str">
        <x:v>Personal readiness logistics only</x:v>
      </x:c>
      <x:c r="E185" s="38" t="n">
        <x:v>-2</x:v>
      </x:c>
      <x:c r="F185" s="36" t="str">
        <x:v>having my things ready to go
I stopped being late nearly as much
I started waking up earlier
everything is sorted as soon as I walk in
setting things up as I'm leaving work</x:v>
      </x:c>
      <x:c r="G185" s="36" t="str">
        <x:v>The participant's organization centers exclusively on preparing their person or environment for work, with no description of how work tasks themselves are planned or structured. Examples: laying out clothes and checking belongings the evening before so nothing is forgotten; waking earlier and setting up the workspace on arrival and before leaving; not being messy or having clutter at the desk; describing punctuality or a clean working area as the main organizational practice.</x:v>
      </x:c>
      <x:c r="H185" s="39" t="n">
        <x:v>30</x:v>
      </x:c>
      <x:c r="I185" s="39" t="n">
        <x:v>93</x:v>
      </x:c>
      <x:c r="J185" s="40" t="str">
        <x:v>112</x:v>
      </x:c>
      <x:c r="K185" s="36" t="str">
        <x:v>Training</x:v>
      </x:c>
      <x:c r="L185" s="36" t="str">
        <x:v>Exact quotation; saved under the selected category.</x:v>
      </x:c>
      <x:c r="M185" s="36" t="str">
        <x:v>Substantive</x:v>
      </x:c>
    </x:row>
    <x:row r="186" ht="102" customHeight="1">
      <x:c r="A186" s="8" t="str">
        <x:v>M2-11</x:v>
      </x:c>
      <x:c r="B186" s="33" t="str">
        <x:v>male</x:v>
      </x:c>
      <x:c r="C186" s="8" t="str">
        <x:v>Execution planning versus personal logistics and task tracking</x:v>
      </x:c>
      <x:c r="D186" s="8" t="str">
        <x:v>Task tracking without execution planning</x:v>
      </x:c>
      <x:c r="E186" s="34" t="n">
        <x:v>-1</x:v>
      </x:c>
      <x:c r="F186" s="8" t="str">
        <x:v>I keep a running to-do list for tasks I need to complete
I rely heavily on notes and little reminders
send myself a quick email when I think of something</x:v>
      </x:c>
      <x:c r="G186" s="8" t="str">
        <x:v>The participant describes maintaining lists, reminders, calendars, or worklists whose purpose is keeping track of outstanding tasks, appointments, or records, but never describes how the actual work is approached, broken down, or carried out. Examples: keeping a running to-do list of work tasks; relying on notes and reminders and sending oneself emails so things get done; maintaining a calendar with all meetings and deadlines; adding patient names to a worklist and completing records on it; being a 'list maker' with apps for schedules.</x:v>
      </x:c>
      <x:c r="H186" s="22" t="n">
        <x:v>17</x:v>
      </x:c>
      <x:c r="I186" s="22" t="n">
        <x:v>89</x:v>
      </x:c>
      <x:c r="J186" s="35" t="str">
        <x:v>547</x:v>
      </x:c>
      <x:c r="K186" s="8" t="str">
        <x:v>Training</x:v>
      </x:c>
      <x:c r="L186" s="8" t="str">
        <x:v>Exact quotation; saved under the selected category.</x:v>
      </x:c>
      <x:c r="M186" s="8" t="str">
        <x:v>Substantive</x:v>
      </x:c>
    </x:row>
    <x:row r="187" ht="73.5" customHeight="1">
      <x:c r="A187" s="27" t="str">
        <x:v>M2-11</x:v>
      </x:c>
      <x:c r="B187" s="28" t="str">
        <x:v>male</x:v>
      </x:c>
      <x:c r="C187" s="27" t="str">
        <x:v>Execution planning versus personal logistics and task tracking</x:v>
      </x:c>
      <x:c r="D187" s="27" t="str">
        <x:v>Mixed logistics or tracking with some execution planning</x:v>
      </x:c>
      <x:c r="E187" s="29" t="n">
        <x:v>1</x:v>
      </x:c>
      <x:c r="F187" s="27" t="str">
        <x:v>all of my notes labeled in folders on my computer
I have 2 computer monitors so that I can complete separate tasks
focus on the most time-sensitive and urgent tasks first</x:v>
      </x:c>
      <x:c r="G187" s="27" t="str">
        <x:v>The participant combines personal readiness, workspace, or tracking practices with at least some description of structuring or sequencing the work itself, but neither dominates or the task-planning element is limited in scope. Examples: labeled folders and dual monitors alongside focusing on the most time-sensitive tasks first; writing a task list and getting on with the most important ones first while keeping a clean area.</x:v>
      </x:c>
      <x:c r="H187" s="31" t="n">
        <x:v>7</x:v>
      </x:c>
      <x:c r="I187" s="31" t="n">
        <x:v>14</x:v>
      </x:c>
      <x:c r="J187" s="32" t="str">
        <x:v>483</x:v>
      </x:c>
      <x:c r="K187" s="27" t="str">
        <x:v>Training</x:v>
      </x:c>
      <x:c r="L187" s="27" t="str">
        <x:v>Exact quotation; saved under the selected category.</x:v>
      </x:c>
      <x:c r="M187" s="27" t="str">
        <x:v>Substantive</x:v>
      </x:c>
    </x:row>
    <x:row r="188" ht="102" customHeight="1">
      <x:c r="A188" s="8" t="str">
        <x:v>M2-11</x:v>
      </x:c>
      <x:c r="B188" s="33" t="str">
        <x:v>male</x:v>
      </x:c>
      <x:c r="C188" s="8" t="str">
        <x:v>Execution planning versus personal logistics and task tracking</x:v>
      </x:c>
      <x:c r="D188" s="8" t="str">
        <x:v>Detailed strategic execution planning</x:v>
      </x:c>
      <x:c r="E188" s="34" t="n">
        <x:v>2</x:v>
      </x:c>
      <x:c r="F188" s="8" t="str">
        <x:v>meticulously planned study sessions, tests, and assignments' due dates
using planners and digital resources
methodical approach reduced stress</x:v>
      </x:c>
      <x:c r="G188" s="8" t="str">
        <x:v>The participant's narrative centers on how the work content is planned, prepared, or methodically carried out: breaking work into steps, milestones, and objectives and checking them off as a road map; having a game plan and gathering all materials and knowledge required before beginning a task; meticulously planning study sessions, tests, and assignment due dates; making notes and records in advance specifically so a later task (e.g., ordering parts) can be executed with little effort; outlining to team members how tasks are to be carried out and the desired results; scheduling work phases and materials for a project.</x:v>
      </x:c>
      <x:c r="H188" s="22" t="n">
        <x:v>9</x:v>
      </x:c>
      <x:c r="I188" s="22" t="n">
        <x:v>22</x:v>
      </x:c>
      <x:c r="J188" s="35" t="str">
        <x:v>472</x:v>
      </x:c>
      <x:c r="K188" s="8" t="str">
        <x:v>Training</x:v>
      </x:c>
      <x:c r="L188" s="8" t="str">
        <x:v>Exact quotation; saved under the selected category.</x:v>
      </x:c>
      <x:c r="M188" s="8" t="str">
        <x:v>Substantive</x:v>
      </x:c>
    </x:row>
    <x:row r="189" ht="73.5" customHeight="1">
      <x:c r="A189" s="27" t="str">
        <x:v>M2-11</x:v>
      </x:c>
      <x:c r="B189" s="28" t="str">
        <x:v>male</x:v>
      </x:c>
      <x:c r="C189" s="27" t="str">
        <x:v>Execution planning versus personal logistics and task tracking</x:v>
      </x:c>
      <x:c r="D189" s="27" t="str">
        <x:v>Uncertain</x:v>
      </x:c>
      <x:c r="E189" s="29" t="n">
        <x:v>0</x:v>
      </x:c>
      <x:c r="F189" s="27" t="str">
        <x:v>I meticulously plan and prioritize tasks, ensuring efficient project management
my organizational skills helped streamline workflows, meet deadlines</x:v>
      </x:c>
      <x:c r="G189" s="27" t="str">
        <x:v>The interview gives mixed or ambiguous evidence about the object of the organizational effort, such as vague claims of 'planning and prioritizing tasks' or 'streamlining workflows' with no described behavior that shows whether work content or merely logistics and tracking is being managed, or descriptions too thin to classify.</x:v>
      </x:c>
      <x:c r="H189" s="31" t="n">
        <x:v>18</x:v>
      </x:c>
      <x:c r="I189" s="31" t="n">
        <x:v>94</x:v>
      </x:c>
      <x:c r="J189" s="32" t="str">
        <x:v>604</x:v>
      </x:c>
      <x:c r="K189" s="27" t="str">
        <x:v>Training</x:v>
      </x:c>
      <x:c r="L189" s="27" t="str">
        <x:v>Exact quotation; saved under the selected category.</x:v>
      </x:c>
      <x:c r="M189" s="27" t="str">
        <x:v>Uncertain</x:v>
      </x:c>
    </x:row>
    <x:row r="190" ht="59.25" customHeight="1">
      <x:c r="A190" s="8" t="str">
        <x:v>M2-11</x:v>
      </x:c>
      <x:c r="B190" s="33" t="str">
        <x:v>male</x:v>
      </x:c>
      <x:c r="C190" s="8" t="str">
        <x:v>Execution planning versus personal logistics and task tracking</x:v>
      </x:c>
      <x:c r="D190" s="8" t="str">
        <x:v>Not applicable</x:v>
      </x:c>
      <x:c r="E190" s="34" t="n">
        <x:v>0</x:v>
      </x:c>
      <x:c r="F190" s="8" t="str">
        <x:v>An organized person is likely to excel in managing their time efficiently
Organized individuals have a knack for identifing and prioritizing tasks</x:v>
      </x:c>
      <x:c r="G190" s="8" t="str">
        <x:v>The interview does not describe any of the participant's own organizational or work behavior (e.g., only general opinions about what organized people do, or content unrelated to the participant's organization), so there is no relevant evidence to judge.</x:v>
      </x:c>
      <x:c r="H190" s="22" t="n">
        <x:v>5</x:v>
      </x:c>
      <x:c r="I190" s="22" t="n">
        <x:v>33</x:v>
      </x:c>
      <x:c r="J190" s="35" t="str">
        <x:v>250</x:v>
      </x:c>
      <x:c r="K190" s="8" t="str">
        <x:v>Training</x:v>
      </x:c>
      <x:c r="L190" s="8" t="str">
        <x:v>Exact quotation; saved under the selected category.</x:v>
      </x:c>
      <x:c r="M190" s="8" t="str">
        <x:v>Not applicable</x:v>
      </x:c>
    </x:row>
    <x:row r="191" ht="58.5" customHeight="1">
      <x:c r="A191" s="27" t="str">
        <x:v>M2-11</x:v>
      </x:c>
      <x:c r="B191" s="28" t="str">
        <x:v>male</x:v>
      </x:c>
      <x:c r="C191" s="27" t="str">
        <x:v>Execution planning versus personal logistics and task tracking</x:v>
      </x:c>
      <x:c r="D191" s="27" t="str">
        <x:v>[Invalid response: zero fallback]</x:v>
      </x:c>
      <x:c r="E191" s="29" t="n">
        <x:v>0</x:v>
      </x:c>
      <x:c r="F191" s="27" t="str"/>
      <x:c r="G191" s="27" t="str">
        <x:v>The completed rating failed validation or did not match a valid response category. The saved pipeline assigned a flagged zero. This is a processing fallback, not a generated category.</x:v>
      </x:c>
      <x:c r="H191" s="31" t="n">
        <x:v>0</x:v>
      </x:c>
      <x:c r="I191" s="31" t="n">
        <x:v>0</x:v>
      </x:c>
      <x:c r="J191" s="32" t="str"/>
      <x:c r="K191" s="27" t="str"/>
      <x:c r="L191" s="27" t="str">
        <x:v>No category quotation is assigned to invalid responses.</x:v>
      </x:c>
      <x:c r="M191" s="27" t="str">
        <x:v>Invalid fallback</x:v>
      </x:c>
    </x:row>
    <x:row r="192" ht="30" customHeight="1">
      <x:c r="A192" s="26" t="str">
        <x:v>18. Granularity of organizing units. M2-12. No close counterpart in this alignment.</x:v>
      </x:c>
      <x:c r="B192" s="26"/>
      <x:c r="C192" s="26"/>
      <x:c r="D192" s="26"/>
      <x:c r="E192" s="26"/>
      <x:c r="F192" s="26"/>
      <x:c r="G192" s="26"/>
      <x:c r="H192" s="26"/>
      <x:c r="I192" s="26"/>
      <x:c r="J192" s="26"/>
      <x:c r="K192" s="26"/>
      <x:c r="L192" s="26"/>
      <x:c r="M192" s="26"/>
    </x:row>
    <x:row r="193" ht="116.25" customHeight="1">
      <x:c r="A193" s="36" t="str">
        <x:v>M2-12</x:v>
      </x:c>
      <x:c r="B193" s="37" t="str">
        <x:v>male</x:v>
      </x:c>
      <x:c r="C193" s="36" t="str">
        <x:v>Granularity of the organizing unit in the participant's organization</x:v>
      </x:c>
      <x:c r="D193" s="36" t="str">
        <x:v>No described organizing unit</x:v>
      </x:c>
      <x:c r="E193" s="38" t="n">
        <x:v>1</x:v>
      </x:c>
      <x:c r="F193" s="36" t="str">
        <x:v>I am highly organized, and this trait significantly influences my behavior
I meticulously plan and prioritize tasks, ensuring efficient project management
my organizational skills helped streamline workflows, meet deadlines</x:v>
      </x:c>
      <x:c r="G193" s="36" t="str">
        <x:v>The participant offers only trait claims, benefit or effect statements, reputational or comparative assertions, or descriptions of organizing other people, with no unit of their own work, time, or space that is actually organized. Examples: 'I am highly organized, and this trait significantly influences my behavior'; 'I meticulously plan and prioritize tasks, ensuring efficient project management' with no scale identified; 'I'm so well organized that I believe it be the cause for my success'; 'Because of this act, I am always admired'; 'I make sure all of my subordinates are well organized so company metrics improve' with nothing described about the participant's own units of work.</x:v>
      </x:c>
      <x:c r="H193" s="39" t="n">
        <x:v>17</x:v>
      </x:c>
      <x:c r="I193" s="39" t="n">
        <x:v>91</x:v>
      </x:c>
      <x:c r="J193" s="40" t="str">
        <x:v>604</x:v>
      </x:c>
      <x:c r="K193" s="36" t="str">
        <x:v>Training</x:v>
      </x:c>
      <x:c r="L193" s="36" t="str">
        <x:v>Exact quotation; saved under the selected category.</x:v>
      </x:c>
      <x:c r="M193" s="36" t="str">
        <x:v>Substantive</x:v>
      </x:c>
    </x:row>
    <x:row r="194" ht="87.75" customHeight="1">
      <x:c r="A194" s="8" t="str">
        <x:v>M2-12</x:v>
      </x:c>
      <x:c r="B194" s="33" t="str">
        <x:v>male</x:v>
      </x:c>
      <x:c r="C194" s="8" t="str">
        <x:v>Granularity of the organizing unit in the participant's organization</x:v>
      </x:c>
      <x:c r="D194" s="8" t="str">
        <x:v>Domain-level order only</x:v>
      </x:c>
      <x:c r="E194" s="34" t="n">
        <x:v>2</x:v>
      </x:c>
      <x:c r="F194" s="8" t="str">
        <x:v>not being messy or having clutter at my desk
I am organized at home, I am also organized in any professional setting
I also get work finished sooner because of my organization skills</x:v>
      </x:c>
      <x:c r="G194" s="8" t="str">
        <x:v>Organization is described only at the level of an entire domain, space, or general behavior pattern, with no finer unit of work or time identified. Examples: 'not being messy or having clutter at my desk or work space'; 'I am usually pretty organized'; being on time or always meeting deadlines and due dates stated as a general pattern with no described method; tidy surroundings or a clean working area as the whole description; 'I am organized in terms of meeting deadlines' with no further structure.</x:v>
      </x:c>
      <x:c r="H194" s="22" t="n">
        <x:v>29</x:v>
      </x:c>
      <x:c r="I194" s="22" t="n">
        <x:v>108</x:v>
      </x:c>
      <x:c r="J194" s="35" t="str">
        <x:v>343</x:v>
      </x:c>
      <x:c r="K194" s="8" t="str">
        <x:v>Training</x:v>
      </x:c>
      <x:c r="L194" s="8" t="str">
        <x:v>Exact quotation; saved under the selected category.</x:v>
      </x:c>
      <x:c r="M194" s="8" t="str">
        <x:v>Substantive</x:v>
      </x:c>
    </x:row>
    <x:row r="195" ht="102" customHeight="1">
      <x:c r="A195" s="27" t="str">
        <x:v>M2-12</x:v>
      </x:c>
      <x:c r="B195" s="28" t="str">
        <x:v>male</x:v>
      </x:c>
      <x:c r="C195" s="27" t="str">
        <x:v>Granularity of the organizing unit in the participant's organization</x:v>
      </x:c>
      <x:c r="D195" s="27" t="str">
        <x:v>Project- or deadline-level units</x:v>
      </x:c>
      <x:c r="E195" s="29" t="n">
        <x:v>3</x:v>
      </x:c>
      <x:c r="F195" s="27" t="str">
        <x:v>I always meet deadlines and due date
I plan all my projects based on when they are due
I start working on the soonest due first</x:v>
      </x:c>
      <x:c r="G195" s="27" t="str">
        <x:v>The finest described unit is a whole project, course, assignment, or deadline, or a one-off reorganization of materials. Examples: 'I plan all my projects based on when they are due... I start working on the soonest due first'; 'My organisation at school always meant I would complete coursework ahead of time and writing a lot of notes to revise'; 'Just recently I did a thorough cleaning of my paperwork'; organizing projects by their start and end times; 'I would always aim to complete school assignments at least a day in advance' as the sole unit.</x:v>
      </x:c>
      <x:c r="H195" s="31" t="n">
        <x:v>12</x:v>
      </x:c>
      <x:c r="I195" s="31" t="n">
        <x:v>32</x:v>
      </x:c>
      <x:c r="J195" s="32" t="str">
        <x:v>851</x:v>
      </x:c>
      <x:c r="K195" s="27" t="str">
        <x:v>Training</x:v>
      </x:c>
      <x:c r="L195" s="27" t="str">
        <x:v>Exact quotation; saved under the selected category.</x:v>
      </x:c>
      <x:c r="M195" s="27" t="str">
        <x:v>Substantive</x:v>
      </x:c>
    </x:row>
    <x:row r="196" ht="102" customHeight="1">
      <x:c r="A196" s="8" t="str">
        <x:v>M2-12</x:v>
      </x:c>
      <x:c r="B196" s="33" t="str">
        <x:v>male</x:v>
      </x:c>
      <x:c r="C196" s="8" t="str">
        <x:v>Granularity of the organizing unit in the participant's organization</x:v>
      </x:c>
      <x:c r="D196" s="8" t="str">
        <x:v>Day- or week-level recurring units</x:v>
      </x:c>
      <x:c r="E196" s="34" t="n">
        <x:v>4</x:v>
      </x:c>
      <x:c r="F196" s="8" t="str">
        <x:v>I align my tasks daily
organize my team to achieve their daily targets</x:v>
      </x:c>
      <x:c r="G196" s="8" t="str">
        <x:v>The participant describes a recurring rhythm at the level of the day or week: planning each day on a written schedule, aligning tasks daily, organizing team members toward daily targets, laying out clothes and checking belongings the evening before each workday, or a weekly planning ritual that structures the week's deadlines and activities. Examples: 'I align my tasks daily'; 'I organize my team to achieve their daily targets'; 'I plan my day on written schedule'; 'I organize my projects by the time they start and end, I plan my day on written schedule'.</x:v>
      </x:c>
      <x:c r="H196" s="22" t="n">
        <x:v>8</x:v>
      </x:c>
      <x:c r="I196" s="22" t="n">
        <x:v>52</x:v>
      </x:c>
      <x:c r="J196" s="35" t="str">
        <x:v>774</x:v>
      </x:c>
      <x:c r="K196" s="8" t="str">
        <x:v>Training</x:v>
      </x:c>
      <x:c r="L196" s="8" t="str">
        <x:v>Exact quotation; saved under the selected category.</x:v>
      </x:c>
      <x:c r="M196" s="8" t="str">
        <x:v>Substantive</x:v>
      </x:c>
    </x:row>
    <x:row r="197" ht="130.5" customHeight="1">
      <x:c r="A197" s="27" t="str">
        <x:v>M2-12</x:v>
      </x:c>
      <x:c r="B197" s="28" t="str">
        <x:v>male</x:v>
      </x:c>
      <x:c r="C197" s="27" t="str">
        <x:v>Granularity of the organizing unit in the participant's organization</x:v>
      </x:c>
      <x:c r="D197" s="27" t="str">
        <x:v>Task-level structuring and preparation</x:v>
      </x:c>
      <x:c r="E197" s="29" t="n">
        <x:v>5</x:v>
      </x:c>
      <x:c r="F197" s="27" t="str">
        <x:v>I have a game plan as to how I will complete a task
organized with materials and any knowledge I require before I begin</x:v>
      </x:c>
      <x:c r="G197" s="27" t="str">
        <x:v>The finest described unit is the individual task or work item: having a game plan for how a specific task will be completed and gathering materials and knowledge before beginning it, writing an outline of tasks, milestones, and objectives for an assignment and checking them off, focusing on the most time-sensitive and urgent tasks first, meticulously planning specific study sessions, tests, and due dates, scheduling specific construction phases, or reviewing a specific finished program for errors. Examples: 'I have a game plan as to how I will complete a task... and make sure I am organized with materials and any knowledge I require before I begin the task'; 'I write out an outline of tasks, milestones and objectives and then check them off'; 'it has allowed me to focus on the most time-sensitive and urgent tasks first'.</x:v>
      </x:c>
      <x:c r="H197" s="31" t="n">
        <x:v>17</x:v>
      </x:c>
      <x:c r="I197" s="31" t="n">
        <x:v>39</x:v>
      </x:c>
      <x:c r="J197" s="32" t="str">
        <x:v>313</x:v>
      </x:c>
      <x:c r="K197" s="27" t="str">
        <x:v>Training</x:v>
      </x:c>
      <x:c r="L197" s="27" t="str">
        <x:v>Exact quotation; saved under the selected category.</x:v>
      </x:c>
      <x:c r="M197" s="27" t="str">
        <x:v>Substantive</x:v>
      </x:c>
    </x:row>
    <x:row r="198" ht="73.5" customHeight="1">
      <x:c r="A198" s="8" t="str">
        <x:v>M2-12</x:v>
      </x:c>
      <x:c r="B198" s="33" t="str">
        <x:v>male</x:v>
      </x:c>
      <x:c r="C198" s="8" t="str">
        <x:v>Granularity of the organizing unit in the participant's organization</x:v>
      </x:c>
      <x:c r="D198" s="8" t="str">
        <x:v>Uncertain</x:v>
      </x:c>
      <x:c r="E198" s="34" t="n">
        <x:v>0</x:v>
      </x:c>
      <x:c r="F198" s="8" t="str">
        <x:v>I am known for being a "list maker"
extremely organized with my lists
use technology and apps to help keep me on track with schedules
asked to keep the team on track during meetings</x:v>
      </x:c>
      <x:c r="G198" s="8" t="str">
        <x:v>The interview gives mixed or ambiguous evidence about the scale of the organizing unit, such as vague claims of 'planning and prioritizing' where it is unclear whether tasks, days, projects, or nothing concrete is being structured, or descriptions too thin to identify any unit reliably.</x:v>
      </x:c>
      <x:c r="H198" s="22" t="n">
        <x:v>2</x:v>
      </x:c>
      <x:c r="I198" s="22" t="n">
        <x:v>19</x:v>
      </x:c>
      <x:c r="J198" s="35" t="str">
        <x:v>371</x:v>
      </x:c>
      <x:c r="K198" s="8" t="str">
        <x:v>Training</x:v>
      </x:c>
      <x:c r="L198" s="8" t="str">
        <x:v>Exact quotation; saved under the selected category.</x:v>
      </x:c>
      <x:c r="M198" s="8" t="str">
        <x:v>Uncertain</x:v>
      </x:c>
    </x:row>
    <x:row r="199" ht="59.25" customHeight="1">
      <x:c r="A199" s="27" t="str">
        <x:v>M2-12</x:v>
      </x:c>
      <x:c r="B199" s="28" t="str">
        <x:v>male</x:v>
      </x:c>
      <x:c r="C199" s="27" t="str">
        <x:v>Granularity of the organizing unit in the participant's organization</x:v>
      </x:c>
      <x:c r="D199" s="27" t="str">
        <x:v>Not applicable</x:v>
      </x:c>
      <x:c r="E199" s="29" t="n">
        <x:v>0</x:v>
      </x:c>
      <x:c r="F199" s="27" t="str">
        <x:v>An organized person is likely to excel in managing their time efficiently
They set priorities, create schedules, and adhere to deadlines
Organized individuals have a knack for identifing and prioritizing tasks</x:v>
      </x:c>
      <x:c r="G199" s="27" t="str">
        <x:v>The interview does not describe any of the participant's own organizational behavior or work habits (e.g., only general opinions about what organized people do, or content unrelated to the participant's organization), so there is no relevant evidence to judge the scale of organization.</x:v>
      </x:c>
      <x:c r="H199" s="31" t="n">
        <x:v>1</x:v>
      </x:c>
      <x:c r="I199" s="31" t="n">
        <x:v>3</x:v>
      </x:c>
      <x:c r="J199" s="32" t="str">
        <x:v>250</x:v>
      </x:c>
      <x:c r="K199" s="27" t="str">
        <x:v>Training</x:v>
      </x:c>
      <x:c r="L199" s="27" t="str">
        <x:v>Exact quotation; saved under the selected category.</x:v>
      </x:c>
      <x:c r="M199" s="27" t="str">
        <x:v>Not applicable</x:v>
      </x:c>
    </x:row>
    <x:row r="200" ht="58.5" customHeight="1">
      <x:c r="A200" s="8" t="str">
        <x:v>M2-12</x:v>
      </x:c>
      <x:c r="B200" s="33" t="str">
        <x:v>male</x:v>
      </x:c>
      <x:c r="C200" s="8" t="str">
        <x:v>Granularity of the organizing unit in the participant's organization</x:v>
      </x:c>
      <x:c r="D200" s="8" t="str">
        <x:v>[Invalid response: zero fallback]</x:v>
      </x:c>
      <x:c r="E200" s="34" t="n">
        <x:v>0</x:v>
      </x:c>
      <x:c r="F200" s="8" t="str"/>
      <x:c r="G200" s="8" t="str">
        <x:v>The completed rating failed validation or did not match a valid response category. The saved pipeline assigned a flagged zero. This is a processing fallback, not a generated category.</x:v>
      </x:c>
      <x:c r="H200" s="22" t="n">
        <x:v>0</x:v>
      </x:c>
      <x:c r="I200" s="22" t="n">
        <x:v>1</x:v>
      </x:c>
      <x:c r="J200" s="35" t="str"/>
      <x:c r="K200" s="8" t="str"/>
      <x:c r="L200" s="8" t="str">
        <x:v>No category quotation is assigned to invalid responses.</x:v>
      </x:c>
      <x:c r="M200" s="8" t="str">
        <x:v>Invalid fallback</x:v>
      </x:c>
    </x:row>
    <x:row r="201" ht="30" customHeight="1">
      <x:c r="A201" s="26" t="str">
        <x:v>19. Diligence and attention during execution. M2-13. No close counterpart in this alignment.</x:v>
      </x:c>
      <x:c r="B201" s="26"/>
      <x:c r="C201" s="26"/>
      <x:c r="D201" s="26"/>
      <x:c r="E201" s="26"/>
      <x:c r="F201" s="26"/>
      <x:c r="G201" s="26"/>
      <x:c r="H201" s="26"/>
      <x:c r="I201" s="26"/>
      <x:c r="J201" s="26"/>
      <x:c r="K201" s="26"/>
      <x:c r="L201" s="26"/>
      <x:c r="M201" s="26"/>
    </x:row>
    <x:row r="202" ht="73.5" customHeight="1">
      <x:c r="A202" s="36" t="str">
        <x:v>M2-13</x:v>
      </x:c>
      <x:c r="B202" s="37" t="str">
        <x:v>male</x:v>
      </x:c>
      <x:c r="C202" s="36" t="str">
        <x:v>Diligence and focus language in duty execution versus order-only or distractibility descriptions</x:v>
      </x:c>
      <x:c r="D202" s="36" t="str">
        <x:v>Described distractibility or attention struggle</x:v>
      </x:c>
      <x:c r="E202" s="38" t="n">
        <x:v>-2</x:v>
      </x:c>
      <x:c r="F202" s="36" t="str">
        <x:v>things that slip through the cracks
caught off guard by not having the information
my mind often been somewhere else as I'm trying to process
rather than the task i'm currently completing</x:v>
      </x:c>
      <x:c r="G202" s="36" t="str">
        <x:v>The participant explicitly describes problems of attention or focus that interfere with their work, studies, or duties. Examples: 'I get easily distracted and have a hard time staying focused on one task at a time'; 'my mind often been somewhere else as I'm trying to process information for something else'; describing difficulty concentrating that has persisted despite attempts to improve.</x:v>
      </x:c>
      <x:c r="H202" s="39" t="n">
        <x:v>2</x:v>
      </x:c>
      <x:c r="I202" s="39" t="n">
        <x:v>16</x:v>
      </x:c>
      <x:c r="J202" s="40" t="str">
        <x:v>795</x:v>
      </x:c>
      <x:c r="K202" s="36" t="str">
        <x:v>Training</x:v>
      </x:c>
      <x:c r="L202" s="36" t="str">
        <x:v>Exact quotation; saved under the selected category.</x:v>
      </x:c>
      <x:c r="M202" s="36" t="str">
        <x:v>Substantive</x:v>
      </x:c>
    </x:row>
    <x:row r="203" ht="87.75" customHeight="1">
      <x:c r="A203" s="8" t="str">
        <x:v>M2-13</x:v>
      </x:c>
      <x:c r="B203" s="33" t="str">
        <x:v>male</x:v>
      </x:c>
      <x:c r="C203" s="8" t="str">
        <x:v>Diligence and focus language in duty execution versus order-only or distractibility descriptions</x:v>
      </x:c>
      <x:c r="D203" s="8" t="str">
        <x:v>Order-only description without work execution content</x:v>
      </x:c>
      <x:c r="E203" s="34" t="n">
        <x:v>-1</x:v>
      </x:c>
      <x:c r="F203" s="8" t="str">
        <x:v>not being messy or having clutter at my desk
Since I am organized at home, I am also organized
My behavior is more professional than some other people
I also get work finished sooner because of my organization</x:v>
      </x:c>
      <x:c r="G203" s="8" t="str">
        <x:v>The participant describes organization purely as the state, placement, or tidiness of things, spaces, or reputational effects, with no description of how they actually carry out, concentrate on, or persist in their work. Examples: describing a tidy desk or workspace, 'organized chaos' at home, where things are kept, being seen as professional or admired, or general opinions about what organized people do, without any duty-execution behavior.</x:v>
      </x:c>
      <x:c r="H203" s="22" t="n">
        <x:v>55</x:v>
      </x:c>
      <x:c r="I203" s="22" t="n">
        <x:v>207</x:v>
      </x:c>
      <x:c r="J203" s="35" t="str">
        <x:v>343</x:v>
      </x:c>
      <x:c r="K203" s="8" t="str">
        <x:v>Training</x:v>
      </x:c>
      <x:c r="L203" s="8" t="str">
        <x:v>Exact quotation; saved under the selected category.</x:v>
      </x:c>
      <x:c r="M203" s="8" t="str">
        <x:v>Substantive</x:v>
      </x:c>
    </x:row>
    <x:row r="204" ht="59.25" customHeight="1">
      <x:c r="A204" s="27" t="str">
        <x:v>M2-13</x:v>
      </x:c>
      <x:c r="B204" s="28" t="str">
        <x:v>male</x:v>
      </x:c>
      <x:c r="C204" s="27" t="str">
        <x:v>Diligence and focus language in duty execution versus order-only or distractibility descriptions</x:v>
      </x:c>
      <x:c r="D204" s="27" t="str">
        <x:v>Uncertain</x:v>
      </x:c>
      <x:c r="E204" s="29" t="n">
        <x:v>0</x:v>
      </x:c>
      <x:c r="F204" s="27" t="str">
        <x:v>I trust inspired action
provides necessary energy to execute what needs to be done</x:v>
      </x:c>
      <x:c r="G204" s="27" t="str">
        <x:v>The interview gives mixed or ambiguous evidence about diligence, focus, or persistence, such as claiming concentration without describing any task performed attentively, combining focus claims with distraction complaints, or descriptions too thin to tell whether work execution or mere arrangement is being described.</x:v>
      </x:c>
      <x:c r="H204" s="31" t="n">
        <x:v>10</x:v>
      </x:c>
      <x:c r="I204" s="31" t="n">
        <x:v>48</x:v>
      </x:c>
      <x:c r="J204" s="32" t="str">
        <x:v>880</x:v>
      </x:c>
      <x:c r="K204" s="27" t="str">
        <x:v>Training</x:v>
      </x:c>
      <x:c r="L204" s="27" t="str">
        <x:v>Exact quotation; saved under the selected category.</x:v>
      </x:c>
      <x:c r="M204" s="27" t="str">
        <x:v>Uncertain</x:v>
      </x:c>
    </x:row>
    <x:row r="205" ht="59.25" customHeight="1">
      <x:c r="A205" s="8" t="str">
        <x:v>M2-13</x:v>
      </x:c>
      <x:c r="B205" s="33" t="str">
        <x:v>male</x:v>
      </x:c>
      <x:c r="C205" s="8" t="str">
        <x:v>Diligence and focus language in duty execution versus order-only or distractibility descriptions</x:v>
      </x:c>
      <x:c r="D205" s="8" t="str">
        <x:v>Not applicable</x:v>
      </x:c>
      <x:c r="E205" s="34" t="n">
        <x:v>0</x:v>
      </x:c>
      <x:c r="F205" s="8" t="str">
        <x:v>Coming from the difficulty I had with my car</x:v>
      </x:c>
      <x:c r="G205" s="8" t="str">
        <x:v>The interview contains no description of the participant's own work execution, organization, or attention (e.g., only unrelated content or purely abstract commentary with no personal reference), so there is no relevant evidence to judge.</x:v>
      </x:c>
      <x:c r="H205" s="22" t="n">
        <x:v>0</x:v>
      </x:c>
      <x:c r="I205" s="22" t="n">
        <x:v>3</x:v>
      </x:c>
      <x:c r="J205" s="35" t="str">
        <x:v>874</x:v>
      </x:c>
      <x:c r="K205" s="8" t="str">
        <x:v>Holdout</x:v>
      </x:c>
      <x:c r="L205" s="8" t="str">
        <x:v>Exact quotation; saved under the selected category.</x:v>
      </x:c>
      <x:c r="M205" s="8" t="str">
        <x:v>Not applicable</x:v>
      </x:c>
    </x:row>
    <x:row r="206" ht="87.75" customHeight="1">
      <x:c r="A206" s="27" t="str">
        <x:v>M2-13</x:v>
      </x:c>
      <x:c r="B206" s="28" t="str">
        <x:v>male</x:v>
      </x:c>
      <x:c r="C206" s="27" t="str">
        <x:v>Diligence and focus language in duty execution versus order-only or distractibility descriptions</x:v>
      </x:c>
      <x:c r="D206" s="27" t="str">
        <x:v>Diligent focused task execution</x:v>
      </x:c>
      <x:c r="E206" s="29" t="n">
        <x:v>1</x:v>
      </x:c>
      <x:c r="F206" s="27" t="str">
        <x:v>I carry out my duty diligently one at a time
with full concentration
asking questions to both my co-workers and client</x:v>
      </x:c>
      <x:c r="G206" s="27" t="str">
        <x:v>The participant describes performing their work or duties attentively and effortfully, at least in a general or single-domain way. Examples: 'I carry out my duty diligently one at a time with full concentration'; 'I refuse to let myself be distracted'; 'I always try and keep on top of every piece of data I have'; asking questions of co-workers and clients to improve oneself at work; making sure a team project is delivered without errors.</x:v>
      </x:c>
      <x:c r="H206" s="31" t="n">
        <x:v>12</x:v>
      </x:c>
      <x:c r="I206" s="31" t="n">
        <x:v>56</x:v>
      </x:c>
      <x:c r="J206" s="32" t="str">
        <x:v>144</x:v>
      </x:c>
      <x:c r="K206" s="27" t="str">
        <x:v>Training</x:v>
      </x:c>
      <x:c r="L206" s="27" t="str">
        <x:v>Exact quotation; saved under the selected category.</x:v>
      </x:c>
      <x:c r="M206" s="27" t="str">
        <x:v>Substantive</x:v>
      </x:c>
    </x:row>
    <x:row r="207" ht="87.75" customHeight="1">
      <x:c r="A207" s="8" t="str">
        <x:v>M2-13</x:v>
      </x:c>
      <x:c r="B207" s="33" t="str">
        <x:v>male</x:v>
      </x:c>
      <x:c r="C207" s="8" t="str">
        <x:v>Diligence and focus language in duty execution versus order-only or distractibility descriptions</x:v>
      </x:c>
      <x:c r="D207" s="8" t="str">
        <x:v>Persistent discipline with standards or multi-level goals</x:v>
      </x:c>
      <x:c r="E207" s="34" t="n">
        <x:v>2</x:v>
      </x:c>
      <x:c r="F207" s="8" t="str">
        <x:v>I have built this personality overtime
supervise the job of other team members to ensure compliance
ensure compliance to standard performance
led teams of co workers to achieve tasks</x:v>
      </x:c>
      <x:c r="G207" s="8" t="str">
        <x:v>The participant frames their conduct through sustained self-discipline, persistence despite obstacles, or explicit standards and targets governing their execution over time. Examples: 'I always try to make things be how it must be done no matter the challenges'; 'I have built this personality overtime'; supervising team members' work to ensure compliance to standard performance; setting goals and targets at daily, weekly, monthly, and yearly points and tracking progress across work, career, and personal life.</x:v>
      </x:c>
      <x:c r="H207" s="22" t="n">
        <x:v>7</x:v>
      </x:c>
      <x:c r="I207" s="22" t="n">
        <x:v>15</x:v>
      </x:c>
      <x:c r="J207" s="35" t="str">
        <x:v>811</x:v>
      </x:c>
      <x:c r="K207" s="8" t="str">
        <x:v>Training</x:v>
      </x:c>
      <x:c r="L207" s="8" t="str">
        <x:v>Exact quotation; saved under the selected category.</x:v>
      </x:c>
      <x:c r="M207" s="8" t="str">
        <x:v>Substantive</x:v>
      </x:c>
    </x:row>
    <x:row r="208" ht="59.25" customHeight="1">
      <x:c r="A208" s="27" t="str">
        <x:v>M2-13</x:v>
      </x:c>
      <x:c r="B208" s="28" t="str">
        <x:v>male</x:v>
      </x:c>
      <x:c r="C208" s="27" t="str">
        <x:v>Diligence and focus language in duty execution versus order-only or distractibility descriptions</x:v>
      </x:c>
      <x:c r="D208" s="27" t="str">
        <x:v>[Invalid response: zero fallback]</x:v>
      </x:c>
      <x:c r="E208" s="29" t="n">
        <x:v>0</x:v>
      </x:c>
      <x:c r="F208" s="27" t="str"/>
      <x:c r="G208" s="27" t="str">
        <x:v>The completed rating failed validation or did not match a valid response category. The saved pipeline assigned a flagged zero. This is a processing fallback, not a generated category.</x:v>
      </x:c>
      <x:c r="H208" s="31" t="n">
        <x:v>0</x:v>
      </x:c>
      <x:c r="I208" s="31" t="n">
        <x:v>0</x:v>
      </x:c>
      <x:c r="J208" s="32" t="str"/>
      <x:c r="K208" s="27" t="str"/>
      <x:c r="L208" s="27" t="str">
        <x:v>No category quotation is assigned to invalid responses.</x:v>
      </x:c>
      <x:c r="M208" s="27" t="str">
        <x:v>Invalid fallback</x:v>
      </x:c>
    </x:row>
    <x:row r="209" ht="30" customHeight="1">
      <x:c r="A209" s="26" t="str">
        <x:v>20. Thoroughness of organizing effort. M2-14. No close counterpart in this alignment.</x:v>
      </x:c>
      <x:c r="B209" s="26"/>
      <x:c r="C209" s="26"/>
      <x:c r="D209" s="26"/>
      <x:c r="E209" s="26"/>
      <x:c r="F209" s="26"/>
      <x:c r="G209" s="26"/>
      <x:c r="H209" s="26"/>
      <x:c r="I209" s="26"/>
      <x:c r="J209" s="26"/>
      <x:c r="K209" s="26"/>
      <x:c r="L209" s="26"/>
      <x:c r="M209" s="26"/>
    </x:row>
    <x:row r="210" ht="102" customHeight="1">
      <x:c r="A210" s="36" t="str">
        <x:v>M2-14</x:v>
      </x:c>
      <x:c r="B210" s="37" t="str">
        <x:v>male</x:v>
      </x:c>
      <x:c r="C210" s="36" t="str">
        <x:v>Depth and thoroughness of effort invested in organizing</x:v>
      </x:c>
      <x:c r="D210" s="36" t="str">
        <x:v>Minimal or coping-level effort only</x:v>
      </x:c>
      <x:c r="E210" s="38" t="n">
        <x:v>-2</x:v>
      </x:c>
      <x:c r="F210" s="36" t="str">
        <x:v>I rely heavily on notes and little reminders
send myself a quick email when I think of something
I keep a running to-do list for tasks
I have figured out the things which work for me</x:v>
      </x:c>
      <x:c r="G210" s="36" t="str">
        <x:v>The participant's described organizational behavior consists of small, quick, or low-investment acts, or of effort expended only to work around their own disorganization, or they acknowledge ongoing slippage. Examples: 'I send myself a quick email when I think of something'; 'I rely heavily on notes and little reminders'; 'I also just get to it'; 'there are always things that slip through the cracks'; 'I have to make sure that I leave enough time to locate things that I may have misplaced'; describing themselves as last-minute and rushing to finish work.</x:v>
      </x:c>
      <x:c r="H210" s="39" t="n">
        <x:v>12</x:v>
      </x:c>
      <x:c r="I210" s="39" t="n">
        <x:v>68</x:v>
      </x:c>
      <x:c r="J210" s="40" t="str">
        <x:v>547</x:v>
      </x:c>
      <x:c r="K210" s="36" t="str">
        <x:v>Training</x:v>
      </x:c>
      <x:c r="L210" s="36" t="str">
        <x:v>Exact quotation; saved under the selected category.</x:v>
      </x:c>
      <x:c r="M210" s="36" t="str">
        <x:v>Substantive</x:v>
      </x:c>
    </x:row>
    <x:row r="211" ht="87.75" customHeight="1">
      <x:c r="A211" s="8" t="str">
        <x:v>M2-14</x:v>
      </x:c>
      <x:c r="B211" s="33" t="str">
        <x:v>male</x:v>
      </x:c>
      <x:c r="C211" s="8" t="str">
        <x:v>Depth and thoroughness of effort invested in organizing</x:v>
      </x:c>
      <x:c r="D211" s="8" t="str">
        <x:v>Routine habits without thoroughness emphasis</x:v>
      </x:c>
      <x:c r="E211" s="34" t="n">
        <x:v>-1</x:v>
      </x:c>
      <x:c r="F211" s="8" t="str">
        <x:v>I like to keep everything in a nice, organized binder
Keeping all my paperwork in one place keeps it from getting lost
helped me stay on top of my weekly deadlines</x:v>
      </x:c>
      <x:c r="G211" s="8" t="str">
        <x:v>The participant describes maintained habits or tools (a binder, a tidy desk, a to-do list, labeled folders, a calendar) as ordinary, matter-of-fact practice, with no mention of substantial effort, deep engagement, exhaustive work, or high standards of completeness. Examples: 'I like to keep everything in a nice, organized binder... keeps it from getting lost'; 'not being messy or having clutter at my desk or work space'; 'I keep a running to-do list for tasks I need to complete at work'.</x:v>
      </x:c>
      <x:c r="H211" s="22" t="n">
        <x:v>32</x:v>
      </x:c>
      <x:c r="I211" s="22" t="n">
        <x:v>121</x:v>
      </x:c>
      <x:c r="J211" s="35" t="str">
        <x:v>399</x:v>
      </x:c>
      <x:c r="K211" s="8" t="str">
        <x:v>Training</x:v>
      </x:c>
      <x:c r="L211" s="8" t="str">
        <x:v>Exact quotation; saved under the selected category.</x:v>
      </x:c>
      <x:c r="M211" s="8" t="str">
        <x:v>Substantive</x:v>
      </x:c>
    </x:row>
    <x:row r="212" ht="102" customHeight="1">
      <x:c r="A212" s="27" t="str">
        <x:v>M2-14</x:v>
      </x:c>
      <x:c r="B212" s="28" t="str">
        <x:v>male</x:v>
      </x:c>
      <x:c r="C212" s="27" t="str">
        <x:v>Depth and thoroughness of effort invested in organizing</x:v>
      </x:c>
      <x:c r="D212" s="27" t="str">
        <x:v>Deliberate repeated preparation</x:v>
      </x:c>
      <x:c r="E212" s="29" t="n">
        <x:v>1</x:v>
      </x:c>
      <x:c r="F212" s="27" t="str">
        <x:v>It became almost second nature for me to organize tasks
take clear notes which I would later file for reference
to check my meeting notes as well as to have help</x:v>
      </x:c>
      <x:c r="G212" s="27" t="str">
        <x:v>The participant describes recurring, deliberately planned preparatory or maintenance acts that require ongoing personal effort, without reaching the level of exhaustive or uncompromising investment. Examples: 'the previous evening I will try to lay out my clothes, check I have everything, so that I am as prepared as possible'; 'it became almost second nature for me to organize tasks and take clear notes which I would later file for reference'; planning the day on a written schedule; keeping track of projects so they are very rarely lost.</x:v>
      </x:c>
      <x:c r="H212" s="31" t="n">
        <x:v>13</x:v>
      </x:c>
      <x:c r="I212" s="31" t="n">
        <x:v>35</x:v>
      </x:c>
      <x:c r="J212" s="32" t="str">
        <x:v>782</x:v>
      </x:c>
      <x:c r="K212" s="27" t="str">
        <x:v>Training</x:v>
      </x:c>
      <x:c r="L212" s="27" t="str">
        <x:v>Exact quotation; saved under the selected category.</x:v>
      </x:c>
      <x:c r="M212" s="27" t="str">
        <x:v>Substantive</x:v>
      </x:c>
    </x:row>
    <x:row r="213" ht="130.5" customHeight="1">
      <x:c r="A213" s="8" t="str">
        <x:v>M2-14</x:v>
      </x:c>
      <x:c r="B213" s="33" t="str">
        <x:v>male</x:v>
      </x:c>
      <x:c r="C213" s="8" t="str">
        <x:v>Depth and thoroughness of effort invested in organizing</x:v>
      </x:c>
      <x:c r="D213" s="8" t="str">
        <x:v>Thorough or exhaustive effort with high completeness standards</x:v>
      </x:c>
      <x:c r="E213" s="34" t="n">
        <x:v>2</x:v>
      </x:c>
      <x:c r="F213" s="8" t="str">
        <x:v>Just recently I did a thorough cleaning of my paperwork
to make sure I have things in proper order</x:v>
      </x:c>
      <x:c r="G213" s="8" t="str">
        <x:v>The participant describes investing substantial time or energy, deep or one-off intensive efforts, exhaustive searches, or uncompromising standards of completeness, correctness, or compliance in their own organizing behavior. Examples: spending many hours searching exhaustively so that money or important items would not be lost; 'just recently I did a thorough cleaning of my paperwork to make sure I have things in proper order'; completing a reorganization with near-perfect results where every client file and document is accounted for; 'I always try to make things be how it must be done no matter the challenges'; 'I make sure to supervise the job of other team members to ensure compliance to standard performance'; meticulously planning study sessions and due dates.</x:v>
      </x:c>
      <x:c r="H213" s="22" t="n">
        <x:v>5</x:v>
      </x:c>
      <x:c r="I213" s="22" t="n">
        <x:v>16</x:v>
      </x:c>
      <x:c r="J213" s="35" t="str">
        <x:v>741</x:v>
      </x:c>
      <x:c r="K213" s="8" t="str">
        <x:v>Training</x:v>
      </x:c>
      <x:c r="L213" s="8" t="str">
        <x:v>Exact quotation; saved under the selected category.</x:v>
      </x:c>
      <x:c r="M213" s="8" t="str">
        <x:v>Substantive</x:v>
      </x:c>
    </x:row>
    <x:row r="214" ht="59.25" customHeight="1">
      <x:c r="A214" s="27" t="str">
        <x:v>M2-14</x:v>
      </x:c>
      <x:c r="B214" s="28" t="str">
        <x:v>male</x:v>
      </x:c>
      <x:c r="C214" s="27" t="str">
        <x:v>Depth and thoroughness of effort invested in organizing</x:v>
      </x:c>
      <x:c r="D214" s="27" t="str">
        <x:v>Uncertain</x:v>
      </x:c>
      <x:c r="E214" s="29" t="n">
        <x:v>0</x:v>
      </x:c>
      <x:c r="F214" s="27" t="str">
        <x:v>I am an organized person.
There is a place for everything and everything will be in it's place.
I am very much OCD about things not being where they are suppose to be.</x:v>
      </x:c>
      <x:c r="G214" s="27" t="str">
        <x:v>The interview gives mixed or ambiguous evidence about the depth of effort invested, such as claiming to be meticulous or thorough without describing any effortful act, combining minimal aids with an intensive episode, or providing too little detail about how much work the described organization involves.</x:v>
      </x:c>
      <x:c r="H214" s="31" t="n">
        <x:v>22</x:v>
      </x:c>
      <x:c r="I214" s="31" t="n">
        <x:v>82</x:v>
      </x:c>
      <x:c r="J214" s="32" t="str">
        <x:v>539</x:v>
      </x:c>
      <x:c r="K214" s="27" t="str">
        <x:v>Training</x:v>
      </x:c>
      <x:c r="L214" s="27" t="str">
        <x:v>Exact quotation; saved under the selected category.</x:v>
      </x:c>
      <x:c r="M214" s="27" t="str">
        <x:v>Uncertain</x:v>
      </x:c>
    </x:row>
    <x:row r="215" ht="59.25" customHeight="1">
      <x:c r="A215" s="8" t="str">
        <x:v>M2-14</x:v>
      </x:c>
      <x:c r="B215" s="33" t="str">
        <x:v>male</x:v>
      </x:c>
      <x:c r="C215" s="8" t="str">
        <x:v>Depth and thoroughness of effort invested in organizing</x:v>
      </x:c>
      <x:c r="D215" s="8" t="str">
        <x:v>Not applicable</x:v>
      </x:c>
      <x:c r="E215" s="34" t="n">
        <x:v>0</x:v>
      </x:c>
      <x:c r="F215" s="8" t="str">
        <x:v>An organized person is likely to excel in managing their time efficiently
They set priorities, create schedules, and adhere to deadlines
Organized individuals have a knack for identifing and prioritizing tasks</x:v>
      </x:c>
      <x:c r="G215" s="8" t="str">
        <x:v>The interview does not describe any of the participant's own organizing, preparing, or restoring behavior (e.g., only general opinions about what organized people do, abstract commentary, or content unrelated to the participant's organization), so there is no relevant evidence to judge.</x:v>
      </x:c>
      <x:c r="H215" s="22" t="n">
        <x:v>2</x:v>
      </x:c>
      <x:c r="I215" s="22" t="n">
        <x:v>23</x:v>
      </x:c>
      <x:c r="J215" s="35" t="str">
        <x:v>250</x:v>
      </x:c>
      <x:c r="K215" s="8" t="str">
        <x:v>Training</x:v>
      </x:c>
      <x:c r="L215" s="8" t="str">
        <x:v>Exact quotation; saved under the selected category.</x:v>
      </x:c>
      <x:c r="M215" s="8" t="str">
        <x:v>Not applicable</x:v>
      </x:c>
    </x:row>
    <x:row r="216" ht="58.5" customHeight="1">
      <x:c r="A216" s="27" t="str">
        <x:v>M2-14</x:v>
      </x:c>
      <x:c r="B216" s="28" t="str">
        <x:v>male</x:v>
      </x:c>
      <x:c r="C216" s="27" t="str">
        <x:v>Depth and thoroughness of effort invested in organizing</x:v>
      </x:c>
      <x:c r="D216" s="27" t="str">
        <x:v>[Invalid response: zero fallback]</x:v>
      </x:c>
      <x:c r="E216" s="29" t="n">
        <x:v>0</x:v>
      </x:c>
      <x:c r="F216" s="27" t="str"/>
      <x:c r="G216" s="27" t="str">
        <x:v>The completed rating failed validation or did not match a valid response category. The saved pipeline assigned a flagged zero. This is a processing fallback, not a generated category.</x:v>
      </x:c>
      <x:c r="H216" s="31" t="n">
        <x:v>0</x:v>
      </x:c>
      <x:c r="I216" s="31" t="n">
        <x:v>0</x:v>
      </x:c>
      <x:c r="J216" s="32" t="str"/>
      <x:c r="K216" s="27" t="str"/>
      <x:c r="L216" s="27" t="str">
        <x:v>No category quotation is assigned to invalid responses.</x:v>
      </x:c>
      <x:c r="M216" s="27" t="str">
        <x:v>Invalid fallback</x:v>
      </x:c>
    </x:row>
    <x:row r="217" ht="30" customHeight="1">
      <x:c r="A217" s="26" t="str">
        <x:v>21. Time commitments versus items and spaces. M2-15. No close counterpart in this alignment.</x:v>
      </x:c>
      <x:c r="B217" s="26"/>
      <x:c r="C217" s="26"/>
      <x:c r="D217" s="26"/>
      <x:c r="E217" s="26"/>
      <x:c r="F217" s="26"/>
      <x:c r="G217" s="26"/>
      <x:c r="H217" s="26"/>
      <x:c r="I217" s="26"/>
      <x:c r="J217" s="26"/>
      <x:c r="K217" s="26"/>
      <x:c r="L217" s="26"/>
      <x:c r="M217" s="26"/>
    </x:row>
    <x:row r="218" ht="102" customHeight="1">
      <x:c r="A218" s="36" t="str">
        <x:v>M2-15</x:v>
      </x:c>
      <x:c r="B218" s="37" t="str">
        <x:v>male</x:v>
      </x:c>
      <x:c r="C218" s="36" t="str">
        <x:v>Temporal commitment tracking versus item and space arrangement</x:v>
      </x:c>
      <x:c r="D218" s="36" t="str">
        <x:v>No organized object: claims or disorganization only</x:v>
      </x:c>
      <x:c r="E218" s="38" t="n">
        <x:v>-1</x:v>
      </x:c>
      <x:c r="F218" s="36" t="str">
        <x:v>I am a very organized person with the proven characteristics
paying attention to detail and ensuring things are done orderly
I have built this personality overtime
I have led teams of co workers to achieve tasks
I make sure to supervise the job of other team members</x:v>
      </x:c>
      <x:c r="G218" s="36" t="str">
        <x:v>The participant's account contains only trait assertions, reputational or benefit claims, general opinions, or narratives of disorganization, with nothing identified that is actually organized: no tasks, deadlines, schedules, items, or spaces under any organizing practice. Examples: 'I am a kind of person who is really organized and discipline'; 'I am a very well organized individual... I make sure all of my subordinates are well organized'; 'I am not organized at all and this reflects in how I get my work done'; 'Perhaps my mind is organized' with nothing external described; 'I don't feel that I'm organized' with no compensating practice.</x:v>
      </x:c>
      <x:c r="H218" s="39" t="n">
        <x:v>15</x:v>
      </x:c>
      <x:c r="I218" s="39" t="n">
        <x:v>73</x:v>
      </x:c>
      <x:c r="J218" s="40" t="str">
        <x:v>811</x:v>
      </x:c>
      <x:c r="K218" s="36" t="str">
        <x:v>Training</x:v>
      </x:c>
      <x:c r="L218" s="36" t="str">
        <x:v>Exact quotation; saved under the selected category.</x:v>
      </x:c>
      <x:c r="M218" s="36" t="str">
        <x:v>Substantive</x:v>
      </x:c>
    </x:row>
    <x:row r="219" ht="116.25" customHeight="1">
      <x:c r="A219" s="8" t="str">
        <x:v>M2-15</x:v>
      </x:c>
      <x:c r="B219" s="33" t="str">
        <x:v>male</x:v>
      </x:c>
      <x:c r="C219" s="8" t="str">
        <x:v>Temporal commitment tracking versus item and space arrangement</x:v>
      </x:c>
      <x:c r="D219" s="8" t="str">
        <x:v>Arrangement of items or spaces only</x:v>
      </x:c>
      <x:c r="E219" s="34" t="n">
        <x:v>0</x:v>
      </x:c>
      <x:c r="F219" s="8" t="str">
        <x:v>I always feel like I'm surrounded by unnecessary clutter
stuff that isn't in its "correct" place
I can blindly find just about anything I've touched or placed down
recall with near-perfect results, where every client file
I rarely misplace my keys</x:v>
      </x:c>
      <x:c r="G219" s="8" t="str">
        <x:v>The participant describes organization as placing, storing, tidying, arranging, or locating physical or digital items and spaces (desk, table, wardrobe, belongings, tools, stored emails, filed notes, folders for storage), but never mentions tracking tasks or deadlines or planning when anything will be done. Examples: 'my desk seems cluttered but I know where everything is'; 'I arranged my table well'; 'I try to keep things in place that make sense so I can find them'; 'I keep every email in their organized folders for ease of use'; 'not being messy or having clutter at my desk'; recalling where objects are placed without any task or schedule content.</x:v>
      </x:c>
      <x:c r="H219" s="22" t="n">
        <x:v>32</x:v>
      </x:c>
      <x:c r="I219" s="22" t="n">
        <x:v>120</x:v>
      </x:c>
      <x:c r="J219" s="35" t="str">
        <x:v>726</x:v>
      </x:c>
      <x:c r="K219" s="8" t="str">
        <x:v>Training</x:v>
      </x:c>
      <x:c r="L219" s="8" t="str">
        <x:v>Exact quotation; saved under the selected category.</x:v>
      </x:c>
      <x:c r="M219" s="8" t="str">
        <x:v>Substantive</x:v>
      </x:c>
    </x:row>
    <x:row r="220" ht="102" customHeight="1">
      <x:c r="A220" s="27" t="str">
        <x:v>M2-15</x:v>
      </x:c>
      <x:c r="B220" s="28" t="str">
        <x:v>male</x:v>
      </x:c>
      <x:c r="C220" s="27" t="str">
        <x:v>Temporal commitment tracking versus item and space arrangement</x:v>
      </x:c>
      <x:c r="D220" s="27" t="str">
        <x:v>Tracking of tasks or deadlines</x:v>
      </x:c>
      <x:c r="E220" s="29" t="n">
        <x:v>1</x:v>
      </x:c>
      <x:c r="F220" s="27" t="str">
        <x:v>I don't often drop the ball on things
I keep a running to-do list for tasks I need to complete at work
I rely heavily on notes and little reminders
send myself a quick email when I think of something which I need to make sure gets done</x:v>
      </x:c>
      <x:c r="G220" s="27" t="str">
        <x:v>The participant describes keeping track of outstanding obligations such as tasks, projects, deadlines, appointments, or worklists (to-do lists, running lists, meeting deadlines, keeping track of projects and emails), so that their commitments are monitored, but without describing when activities are scheduled or planned in time. Examples: 'I keep a running to-do list for tasks I need to complete at work'; 'I rely heavily on notes and little reminders' tied to tasks that need to get done; 'I am organized in terms of meeting deadlines'; 'I'm able to meet deadlines and keep track of projects'; maintaining a worklist of records to complete.</x:v>
      </x:c>
      <x:c r="H220" s="31" t="n">
        <x:v>16</x:v>
      </x:c>
      <x:c r="I220" s="31" t="n">
        <x:v>48</x:v>
      </x:c>
      <x:c r="J220" s="32" t="str">
        <x:v>547</x:v>
      </x:c>
      <x:c r="K220" s="27" t="str">
        <x:v>Training</x:v>
      </x:c>
      <x:c r="L220" s="27" t="str">
        <x:v>Exact quotation; saved under the selected category.</x:v>
      </x:c>
      <x:c r="M220" s="27" t="str">
        <x:v>Substantive</x:v>
      </x:c>
    </x:row>
    <x:row r="221" ht="130.5" customHeight="1">
      <x:c r="A221" s="8" t="str">
        <x:v>M2-15</x:v>
      </x:c>
      <x:c r="B221" s="33" t="str">
        <x:v>male</x:v>
      </x:c>
      <x:c r="C221" s="8" t="str">
        <x:v>Temporal commitment tracking versus item and space arrangement</x:v>
      </x:c>
      <x:c r="D221" s="8" t="str">
        <x:v>Scheduling or time-planning of activities</x:v>
      </x:c>
      <x:c r="E221" s="34" t="n">
        <x:v>2</x:v>
      </x:c>
      <x:c r="F221" s="8" t="str">
        <x:v>the previous evening I will try to lay out my clothes
so that I am as prepared as possible for the following day
before I go to work, the previous evening</x:v>
      </x:c>
      <x:c r="G221" s="8" t="str">
        <x:v>The participant describes allocating or ordering their activities in time: planning the day on a written schedule, organizing projects by their start and end times, preparing the evening before for the next day, aiming to complete assignments a day in advance as a planned buffer, or sequencing work by urgency or time-sensitivity to decide what gets done when. Examples: 'I organize my projects by the time they start and the time they end, I plan my day on written schedule'; 'the previous evening I will try to lay out my clothes, check I have everything... so that I am as prepared as possible for the following day'; 'it has allowed me to focus on the most time-sensitive and urgent tasks first'; 'I would always aim to complete school assignments at least a day in advance'.</x:v>
      </x:c>
      <x:c r="H221" s="22" t="n">
        <x:v>19</x:v>
      </x:c>
      <x:c r="I221" s="22" t="n">
        <x:v>76</x:v>
      </x:c>
      <x:c r="J221" s="35" t="str">
        <x:v>753</x:v>
      </x:c>
      <x:c r="K221" s="8" t="str">
        <x:v>Training</x:v>
      </x:c>
      <x:c r="L221" s="8" t="str">
        <x:v>Exact quotation; saved under the selected category.</x:v>
      </x:c>
      <x:c r="M221" s="8" t="str">
        <x:v>Substantive</x:v>
      </x:c>
    </x:row>
    <x:row r="222" ht="73.5" customHeight="1">
      <x:c r="A222" s="27" t="str">
        <x:v>M2-15</x:v>
      </x:c>
      <x:c r="B222" s="28" t="str">
        <x:v>male</x:v>
      </x:c>
      <x:c r="C222" s="27" t="str">
        <x:v>Temporal commitment tracking versus item and space arrangement</x:v>
      </x:c>
      <x:c r="D222" s="27" t="str">
        <x:v>Uncertain</x:v>
      </x:c>
      <x:c r="E222" s="29" t="n">
        <x:v>0</x:v>
      </x:c>
      <x:c r="F222" s="27" t="str">
        <x:v>now that I am more organised I find that helps a lot at work</x:v>
      </x:c>
      <x:c r="G222" s="27" t="str">
        <x:v>The interview gives mixed or ambiguous evidence about the target of the organization, such as vague claims of 'keeping track of everything' or 'staying on top of things' that could refer either to items or to tasks and deadlines, descriptions that alternate between item arrangement and task tracking without a dominant target, or too little detail to identify what is being organized.</x:v>
      </x:c>
      <x:c r="H222" s="31" t="n">
        <x:v>3</x:v>
      </x:c>
      <x:c r="I222" s="31" t="n">
        <x:v>25</x:v>
      </x:c>
      <x:c r="J222" s="32" t="str">
        <x:v>639</x:v>
      </x:c>
      <x:c r="K222" s="27" t="str">
        <x:v>Training</x:v>
      </x:c>
      <x:c r="L222" s="27" t="str">
        <x:v>Exact quotation; saved under the selected category.</x:v>
      </x:c>
      <x:c r="M222" s="27" t="str">
        <x:v>Uncertain</x:v>
      </x:c>
    </x:row>
    <x:row r="223" ht="59.25" customHeight="1">
      <x:c r="A223" s="8" t="str">
        <x:v>M2-15</x:v>
      </x:c>
      <x:c r="B223" s="33" t="str">
        <x:v>male</x:v>
      </x:c>
      <x:c r="C223" s="8" t="str">
        <x:v>Temporal commitment tracking versus item and space arrangement</x:v>
      </x:c>
      <x:c r="D223" s="8" t="str">
        <x:v>Not applicable</x:v>
      </x:c>
      <x:c r="E223" s="34" t="n">
        <x:v>0</x:v>
      </x:c>
      <x:c r="F223" s="8" t="str">
        <x:v>An organized person is likely to excel in managing their time efficiently
They set priorities, create schedules, and adhere to deadlines
Organized individuals have a knack for identifing and prioritizing tasks</x:v>
      </x:c>
      <x:c r="G223" s="8" t="str">
        <x:v>The interview does not describe any of the participant's own organizational behavior or disorganization (e.g., only general opinions about what organized people do, or content unrelated to the participant's organization), so there is no organized object to identify.</x:v>
      </x:c>
      <x:c r="H223" s="22" t="n">
        <x:v>1</x:v>
      </x:c>
      <x:c r="I223" s="22" t="n">
        <x:v>2</x:v>
      </x:c>
      <x:c r="J223" s="35" t="str">
        <x:v>250</x:v>
      </x:c>
      <x:c r="K223" s="8" t="str">
        <x:v>Training</x:v>
      </x:c>
      <x:c r="L223" s="8" t="str">
        <x:v>Exact quotation; saved under the selected category.</x:v>
      </x:c>
      <x:c r="M223" s="8" t="str">
        <x:v>Not applicable</x:v>
      </x:c>
    </x:row>
    <x:row r="224" ht="58.5" customHeight="1">
      <x:c r="A224" s="27" t="str">
        <x:v>M2-15</x:v>
      </x:c>
      <x:c r="B224" s="28" t="str">
        <x:v>male</x:v>
      </x:c>
      <x:c r="C224" s="27" t="str">
        <x:v>Temporal commitment tracking versus item and space arrangement</x:v>
      </x:c>
      <x:c r="D224" s="27" t="str">
        <x:v>[Invalid response: zero fallback]</x:v>
      </x:c>
      <x:c r="E224" s="29" t="n">
        <x:v>0</x:v>
      </x:c>
      <x:c r="F224" s="27" t="str"/>
      <x:c r="G224" s="27" t="str">
        <x:v>The completed rating failed validation or did not match a valid response category. The saved pipeline assigned a flagged zero. This is a processing fallback, not a generated category.</x:v>
      </x:c>
      <x:c r="H224" s="31" t="n">
        <x:v>0</x:v>
      </x:c>
      <x:c r="I224" s="31" t="n">
        <x:v>1</x:v>
      </x:c>
      <x:c r="J224" s="32" t="str"/>
      <x:c r="K224" s="27" t="str"/>
      <x:c r="L224" s="27" t="str">
        <x:v>No category quotation is assigned to invalid responses.</x:v>
      </x:c>
      <x:c r="M224" s="27" t="str">
        <x:v>Invalid fallback</x:v>
      </x:c>
    </x:row>
  </x:sheetData>
  <x:mergeCells>
    <x:mergeCell ref="A2:M2"/>
    <x:mergeCell ref="A3:M3"/>
    <x:mergeCell ref="A4:M4"/>
    <x:mergeCell ref="A5:M5"/>
    <x:mergeCell ref="A6:M6"/>
    <x:mergeCell ref="A8:G8"/>
    <x:mergeCell ref="A21:G21"/>
    <x:mergeCell ref="A35:G35"/>
    <x:mergeCell ref="A47:G47"/>
    <x:mergeCell ref="A60:G60"/>
    <x:mergeCell ref="A73:G73"/>
    <x:mergeCell ref="A86:G86"/>
    <x:mergeCell ref="A100:G100"/>
    <x:mergeCell ref="A114:G114"/>
    <x:mergeCell ref="A127:G127"/>
    <x:mergeCell ref="A142:G142"/>
    <x:mergeCell ref="A148:G148"/>
    <x:mergeCell ref="A155:G155"/>
    <x:mergeCell ref="A162:G162"/>
    <x:mergeCell ref="A171:G171"/>
    <x:mergeCell ref="A178:G178"/>
    <x:mergeCell ref="A184:G184"/>
    <x:mergeCell ref="A192:G192"/>
    <x:mergeCell ref="A201:G201"/>
    <x:mergeCell ref="A209:G209"/>
    <x:mergeCell ref="A217:G217"/>
  </x:mergeCells>
  <x:pageMargins left="0.7" right="0.7" top="0.75" bottom="0.75" header="0.3" footer="0.3"/>
</x:worksheet>
</file>